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otes de correction" sheetId="1" state="visible" r:id="rId3"/>
    <sheet name="Hypothèse de base" sheetId="2" state="visible" r:id="rId4"/>
    <sheet name="Coût du projet" sheetId="3" state="visible" r:id="rId5"/>
    <sheet name="Plan Financement" sheetId="4" state="visible" r:id="rId6"/>
    <sheet name="Feuil3" sheetId="5" state="hidden" r:id="rId7"/>
    <sheet name="Eléments du compte d'exploitati" sheetId="6" state="visible" r:id="rId8"/>
    <sheet name="Echéancier Prêt" sheetId="7" state="visible" r:id="rId9"/>
    <sheet name="Compte d'exploitation" sheetId="8" state="visible" r:id="rId10"/>
    <sheet name="Compte de tresorerie" sheetId="9" state="visible" r:id="rId11"/>
    <sheet name="Bilan" sheetId="10" state="visible" r:id="rId12"/>
    <sheet name="Ratios d'analyse" sheetId="11" state="visible" r:id="rId13"/>
    <sheet name="PLAN DE TRESORERIE" sheetId="12" state="visible" r:id="rId14"/>
    <sheet name="COMPTE D'EXPLOITATION MENSUEL" sheetId="13" state="visible" r:id="rId15"/>
    <sheet name="Fiche Signalétique" sheetId="14" state="visible" r:id="rId16"/>
    <sheet name="Feuil1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6" authorId="0">
      <text>
        <r>
          <rPr>
            <sz val="10"/>
            <rFont val="Arial"/>
            <family val="2"/>
          </rPr>
          <t xml:space="preserve">CORRECTION (revue APEJ) : le prix initial de 2 000 FCFA/kg était hors marché pour de la pasteque en gros (proche du prix de comparaison Piment du document, probable copier-coller). Valeur remplacee par 150 FCFA/kg, coherente avec une reference technico-economique regionale (fiche pasteque saison seche, Dosso/Niger 2017 : ~162 FCFA/kg de gros). A confirmer avec une enquete de prix sur le marche de Bancoumana/Bamako avant decaissement.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Evaluer le montant et le mettre en indiquant la période</t>
        </r>
      </text>
    </comment>
    <comment ref="F41" authorId="0">
      <text>
        <r>
          <rPr>
            <sz val="10"/>
            <rFont val="Arial"/>
            <family val="2"/>
          </rPr>
          <t xml:space="preserve">Mettre le nombre de mois couvert par les matières premières</t>
        </r>
      </text>
    </comment>
    <comment ref="F42" authorId="0">
      <text>
        <r>
          <rPr>
            <sz val="10"/>
            <rFont val="Arial"/>
            <family val="2"/>
          </rPr>
          <t xml:space="preserve">Mettre le nombre de mois couvert par les autres matières premières</t>
        </r>
      </text>
    </comment>
    <comment ref="F43" authorId="0">
      <text>
        <r>
          <rPr>
            <sz val="10"/>
            <rFont val="Arial"/>
            <family val="2"/>
          </rPr>
          <t xml:space="preserve">Mettre le nombre de mois couvert par le frais de personnel</t>
        </r>
      </text>
    </comment>
    <comment ref="F44" authorId="0">
      <text>
        <r>
          <rPr>
            <sz val="10"/>
            <rFont val="Arial"/>
            <family val="2"/>
          </rPr>
          <t xml:space="preserve">Mettre le nombre de mois couvert par le Frais généraux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1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2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E2" authorId="0">
      <text>
        <r>
          <rPr>
            <sz val="10"/>
            <rFont val="Arial"/>
            <family val="2"/>
          </rPr>
          <t xml:space="preserve">Liste déroulante "Homme, Femme ou Situat avant CS"</t>
        </r>
      </text>
    </comment>
    <comment ref="E3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E4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G3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4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7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H2" authorId="0">
      <text>
        <r>
          <rPr>
            <sz val="10"/>
            <rFont val="Arial"/>
            <family val="2"/>
          </rPr>
          <t xml:space="preserve">Projet VERT : Mettre le taux correspondant si l'apport personnel est supérieur à 5% (cas si le Jeune apporté plus que les 5%)</t>
        </r>
      </text>
    </comment>
    <comment ref="H5" authorId="0">
      <text>
        <r>
          <rPr>
            <sz val="10"/>
            <rFont val="Arial"/>
            <family val="2"/>
          </rPr>
          <t xml:space="preserve">Projet VERT : Mettre le taux correspondant si le prêt demandé est inférieur à 25%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7" authorId="0">
      <text>
        <r>
          <rPr>
            <sz val="10"/>
            <rFont val="Arial"/>
            <family val="2"/>
          </rPr>
          <t xml:space="preserve">Mettre le montant de l'impôt concerné</t>
        </r>
      </text>
    </comment>
    <comment ref="B54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5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6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C65" authorId="0">
      <text>
        <r>
          <rPr>
            <sz val="10"/>
            <rFont val="Arial"/>
            <family val="2"/>
          </rPr>
          <t xml:space="preserve">Mettre le taux indiqué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Calculer si d'application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Insérer le montant des anciens équipements</t>
        </r>
      </text>
    </comment>
    <comment ref="F52" authorId="0">
      <text>
        <r>
          <rPr>
            <sz val="10"/>
            <rFont val="Arial"/>
            <family val="2"/>
          </rPr>
          <t xml:space="preserve">Vérification = cette cellule doit toujours être égale à 0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Insérer le compte bancaire du Jeune</t>
        </r>
      </text>
    </comment>
    <comment ref="C19" authorId="0">
      <text>
        <r>
          <rPr>
            <sz val="10"/>
            <rFont val="Arial"/>
            <family val="2"/>
          </rPr>
          <t xml:space="preserve">Insérer le Chiffre d'affaires de référence pour les Entreprises en croissance</t>
        </r>
      </text>
    </comment>
  </commentList>
</comments>
</file>

<file path=xl/sharedStrings.xml><?xml version="1.0" encoding="utf-8"?>
<sst xmlns="http://schemas.openxmlformats.org/spreadsheetml/2006/main" count="662" uniqueCount="452">
  <si>
    <t xml:space="preserve">NOTES DE CORRECTION — Plan d'affaires Boubacar COULIBALY (Zéré Kènè &amp; Délice)</t>
  </si>
  <si>
    <t xml:space="preserve">Observations APEJ/DEJ : corrections apportées au modèle Excel (méthode de calcul). Les hypothèses (montants, prix, rendements) ne sont pas modifiées.</t>
  </si>
  <si>
    <t xml:space="preserve">#</t>
  </si>
  <si>
    <t xml:space="preserve">Emplacement (feuille!cellule)</t>
  </si>
  <si>
    <t xml:space="preserve">Observation</t>
  </si>
  <si>
    <t xml:space="preserve">Correction apportée</t>
  </si>
  <si>
    <t xml:space="preserve">Effet</t>
  </si>
  <si>
    <t xml:space="preserve">Ratios d'analyse!B21:B30</t>
  </si>
  <si>
    <t xml:space="preserve">Seuil de rentabilité : amortissements omis des charges fixes ; données de l'année 3 et de l'année 4 mélangées.</t>
  </si>
  <si>
    <t xml:space="preserve">Charges fixes = personnel, impôts, frais financiers et amortissements de l'année 3 ; seuil de l'année 1 ajouté (ligne 30).</t>
  </si>
  <si>
    <t xml:space="preserve">Seuil relevé (plus prudent).</t>
  </si>
  <si>
    <t xml:space="preserve">Ratios d'analyse!B6:D11</t>
  </si>
  <si>
    <t xml:space="preserve">Valeur ajoutée : impôts et taxes comptés deux fois.</t>
  </si>
  <si>
    <t xml:space="preserve">VA = personnel + amortissements + frais financiers + résultat brut (= CA − achats − TFSE − autres charges). Les impôts sont exclus.</t>
  </si>
  <si>
    <t xml:space="preserve">VA légèrement plus faible.</t>
  </si>
  <si>
    <t xml:space="preserve">Compte d'exploitation!E14:F14</t>
  </si>
  <si>
    <t xml:space="preserve">Amortissements des années 4 et 5 repris par formule fixe de l'année 2 (biens déjà amortis).</t>
  </si>
  <si>
    <t xml:space="preserve">Amortissements AN4 et AN5 calculés bien par bien (Eléments!G65:H92), plafonnés à la valeur du bien.</t>
  </si>
  <si>
    <t xml:space="preserve">Résultat net AN4-AN5 corrigé ; la CAF n'est pas modifiée.</t>
  </si>
  <si>
    <t xml:space="preserve">Compte de tresorerie!A36:F37</t>
  </si>
  <si>
    <t xml:space="preserve">Ligne « Ressources actualisées à 10 % » : simple réduction de 10 %, sans actualisation, non utilisée.</t>
  </si>
  <si>
    <t xml:space="preserve">Ligne supprimée. Le délai actualisé reste calculé à 8 % (lignes 44 à 51).</t>
  </si>
  <si>
    <t xml:space="preserve">Aucun effet sur les résultats.</t>
  </si>
  <si>
    <t xml:space="preserve">Echéancier Prêt!C4</t>
  </si>
  <si>
    <t xml:space="preserve">Taux TTC affiché 9 % (arrondi) alors qu'il est de 9,36 % (8 % × 1,17).</t>
  </si>
  <si>
    <t xml:space="preserve">Format d'affichage à 2 décimales.</t>
  </si>
  <si>
    <t xml:space="preserve">Affichage.</t>
  </si>
  <si>
    <t xml:space="preserve">Ratios d'analyse!A39</t>
  </si>
  <si>
    <t xml:space="preserve">« Taux de rentabilité financière » : ce ratio est une marge nette.</t>
  </si>
  <si>
    <t xml:space="preserve">Intitulé corrigé : « taux de marge nette ».</t>
  </si>
  <si>
    <t xml:space="preserve">Intitulé.</t>
  </si>
  <si>
    <t xml:space="preserve">Compte d'exploitation!A9</t>
  </si>
  <si>
    <t xml:space="preserve">Le poste « Achats de matières premières » inclut aussi carburant, emballages et eau.</t>
  </si>
  <si>
    <t xml:space="preserve">Intitulé : « Achats (matières premières et autres achats) ». Le plan présente les deux tableaux séparément.</t>
  </si>
  <si>
    <t xml:space="preserve">Fiche Signalétique!C13</t>
  </si>
  <si>
    <t xml:space="preserve">Institution financière héritée d'un autre dossier.</t>
  </si>
  <si>
    <t xml:space="preserve">Remplacée par « (à renseigner) ».</t>
  </si>
  <si>
    <t xml:space="preserve">Fiche.</t>
  </si>
  <si>
    <t xml:space="preserve">Points restant à arbitrer (modifient les hypothèses : non appliqués sans validation)</t>
  </si>
  <si>
    <t xml:space="preserve">Besoin en fonds de roulement : à recalculer sur le besoin réel du cycle (intrants, salaires de campagne, frais généraux, intérêts du différé).</t>
  </si>
  <si>
    <t xml:space="preserve">Paillage, préparation du terrain, gaine goutte-à-goutte : consommables à reclasser en charges annuelles ; taux d'amortissement du bassin et des panneaux à revoir (10 %).</t>
  </si>
  <si>
    <t xml:space="preserve">Taux d'actualisation : 10 à 12 % (coût d'opportunité) au lieu de 8 % ; renouvellement des équipements à prévoir.</t>
  </si>
  <si>
    <t xml:space="preserve">Rémunération du promoteur : prélèvements personnels ou rémunération forfaitaire.</t>
  </si>
  <si>
    <t xml:space="preserve">Impôt sur les bénéfices forcé à zéro (Compte d'exploitation!B18:F18) : justifier le régime fiscal.</t>
  </si>
  <si>
    <t xml:space="preserve">Plan de trésorerie et compte d'exploitation mensuels : répartition en douzièmes égaux à remplacer par la saisonnalité réelle (récolte, intrants au démarrage).</t>
  </si>
  <si>
    <t xml:space="preserve">Échéancier de remboursement : à caler sur le cycle agricole avec l'institution financière.</t>
  </si>
  <si>
    <t xml:space="preserve">HYPOTHESES DE BASE </t>
  </si>
  <si>
    <t xml:space="preserve">I. ACHAT DE MATIERES PREMIERES</t>
  </si>
  <si>
    <t xml:space="preserve">Désignation</t>
  </si>
  <si>
    <t xml:space="preserve">Unité</t>
  </si>
  <si>
    <t xml:space="preserve">Qté/jour</t>
  </si>
  <si>
    <t xml:space="preserve">Qté/Sme</t>
  </si>
  <si>
    <t xml:space="preserve">Qté/mois</t>
  </si>
  <si>
    <t xml:space="preserve">Qté/Trim </t>
  </si>
  <si>
    <t xml:space="preserve">Qté/an</t>
  </si>
  <si>
    <t xml:space="preserve">PU</t>
  </si>
  <si>
    <t xml:space="preserve">Montant</t>
  </si>
  <si>
    <t xml:space="preserve">Semence pastèque</t>
  </si>
  <si>
    <t xml:space="preserve">Boîte</t>
  </si>
  <si>
    <t xml:space="preserve">Engrais NPK 50 kg</t>
  </si>
  <si>
    <t xml:space="preserve">Sac</t>
  </si>
  <si>
    <t xml:space="preserve">Intrant Urée 50 kg</t>
  </si>
  <si>
    <t xml:space="preserve">Fongicide + insecticide</t>
  </si>
  <si>
    <t xml:space="preserve">Fumure organique</t>
  </si>
  <si>
    <t xml:space="preserve">TOTAL </t>
  </si>
  <si>
    <t xml:space="preserve">I. AUTRES CHATS DE MATIERES PREMIERES</t>
  </si>
  <si>
    <t xml:space="preserve">Carburant / énergie</t>
  </si>
  <si>
    <t xml:space="preserve">Forfait</t>
  </si>
  <si>
    <t xml:space="preserve">Emballages (sacs, caisses)</t>
  </si>
  <si>
    <t xml:space="preserve">Lot</t>
  </si>
  <si>
    <t xml:space="preserve">Eau d'irrigation</t>
  </si>
  <si>
    <t xml:space="preserve">II. DONNEES PREVISIONNELLES SUR LES AUTRES CHARGES MENSUELLES</t>
  </si>
  <si>
    <t xml:space="preserve">2.1. FRAIS DE PERSONNEL</t>
  </si>
  <si>
    <t xml:space="preserve">Noms et Prénoms</t>
  </si>
  <si>
    <t xml:space="preserve">Permanent</t>
  </si>
  <si>
    <t xml:space="preserve">Temporaire</t>
  </si>
  <si>
    <t xml:space="preserve">Salaire mensuel</t>
  </si>
  <si>
    <t xml:space="preserve">Nbre de mois/an</t>
  </si>
  <si>
    <t xml:space="preserve">Homme</t>
  </si>
  <si>
    <t xml:space="preserve">Femme</t>
  </si>
  <si>
    <t xml:space="preserve">annuel</t>
  </si>
  <si>
    <t xml:space="preserve">PROMOTEUR - Boubacar COULIBALY</t>
  </si>
  <si>
    <t xml:space="preserve">TECHNICIEN AGRONOME</t>
  </si>
  <si>
    <t xml:space="preserve">OUVRIERS SAISONNIERS</t>
  </si>
  <si>
    <t xml:space="preserve">Total</t>
  </si>
  <si>
    <t xml:space="preserve">2.2. Construction d'infrastructures</t>
  </si>
  <si>
    <t xml:space="preserve">Désignation </t>
  </si>
  <si>
    <t xml:space="preserve">Quantité </t>
  </si>
  <si>
    <t xml:space="preserve">Prix unitaire </t>
  </si>
  <si>
    <t xml:space="preserve">Montant (F.CFA)</t>
  </si>
  <si>
    <t xml:space="preserve">TOTAL</t>
  </si>
  <si>
    <t xml:space="preserve">Agencement-Aménagement-Installations</t>
  </si>
  <si>
    <t xml:space="preserve">Aménagement préparatoire</t>
  </si>
  <si>
    <t xml:space="preserve">Formation des billons</t>
  </si>
  <si>
    <t xml:space="preserve">Système goutte-à-goutte</t>
  </si>
  <si>
    <t xml:space="preserve">Clôture en grillage 0,75 ha</t>
  </si>
  <si>
    <t xml:space="preserve">Bassin 40 m³</t>
  </si>
  <si>
    <t xml:space="preserve">Puits à grand diamètre</t>
  </si>
  <si>
    <t xml:space="preserve">2.3	Mobiliers et matériels</t>
  </si>
  <si>
    <t xml:space="preserve">Balance</t>
  </si>
  <si>
    <t xml:space="preserve">2.4 Equipements de production</t>
  </si>
  <si>
    <t xml:space="preserve">Paillage en plastique</t>
  </si>
  <si>
    <t xml:space="preserve">Pulvérisateurs</t>
  </si>
  <si>
    <t xml:space="preserve">Brouettes + Houes</t>
  </si>
  <si>
    <t xml:space="preserve">P 17 (2000 m)</t>
  </si>
  <si>
    <t xml:space="preserve">Outils divers (dabas, pioches, pelles)</t>
  </si>
  <si>
    <t xml:space="preserve">2.2. FRAIS GENERAUX</t>
  </si>
  <si>
    <t xml:space="preserve">Qté/nbre/mois</t>
  </si>
  <si>
    <t xml:space="preserve">Qté/nbre/an</t>
  </si>
  <si>
    <t xml:space="preserve">Montant
 (F.CFA)</t>
  </si>
  <si>
    <t xml:space="preserve">Transports / déplacements</t>
  </si>
  <si>
    <t xml:space="preserve">III. DONNEES PREVISIONNELES SUR LES RECETTES</t>
  </si>
  <si>
    <t xml:space="preserve">2.2. VENTES DE PRODUITS</t>
  </si>
  <si>
    <t xml:space="preserve">Vente pastèque gros calibre</t>
  </si>
  <si>
    <t xml:space="preserve">Vente pastèque moyen calibre</t>
  </si>
  <si>
    <t xml:space="preserve">A. EVALUATION DU COÛT DE  PROJET (FCFA)</t>
  </si>
  <si>
    <t xml:space="preserve">Montant FCFA</t>
  </si>
  <si>
    <t xml:space="preserve">%</t>
  </si>
  <si>
    <t xml:space="preserve">1. Frais d'établissement</t>
  </si>
  <si>
    <t xml:space="preserve">Frais d'étude / développement</t>
  </si>
  <si>
    <t xml:space="preserve">Frais de publicité et de lancement</t>
  </si>
  <si>
    <t xml:space="preserve">Frais de constitution</t>
  </si>
  <si>
    <t xml:space="preserve">Frais d'hypothèque</t>
  </si>
  <si>
    <t xml:space="preserve">Frais de nantissement</t>
  </si>
  <si>
    <t xml:space="preserve">Autres frais</t>
  </si>
  <si>
    <t xml:space="preserve">2. Frais d'investissement</t>
  </si>
  <si>
    <t xml:space="preserve">2.1 Constructions</t>
  </si>
  <si>
    <t xml:space="preserve">2.2 Agencement-Aménagement-Installations</t>
  </si>
  <si>
    <t xml:space="preserve">3. Besoin en fonds de roulement</t>
  </si>
  <si>
    <t xml:space="preserve">Achats de matières premières (3 mois)</t>
  </si>
  <si>
    <t xml:space="preserve">Autres achat (préciser le nombre de mois)</t>
  </si>
  <si>
    <t xml:space="preserve">Frais de personnel (1 mois)</t>
  </si>
  <si>
    <t xml:space="preserve">Frais généraux (1 mois)</t>
  </si>
  <si>
    <t xml:space="preserve">Sécurité de caisse (préciser le nombre de mois)</t>
  </si>
  <si>
    <t xml:space="preserve">COÛT TOTAL DU PROJET</t>
  </si>
  <si>
    <t xml:space="preserve">B. PLAN DE FINANCEMENT </t>
  </si>
  <si>
    <t xml:space="preserve">Apport numeraire</t>
  </si>
  <si>
    <t xml:space="preserve">-</t>
  </si>
  <si>
    <t xml:space="preserve">Primes</t>
  </si>
  <si>
    <t xml:space="preserve">Avant CS</t>
  </si>
  <si>
    <t xml:space="preserve">Verdissement</t>
  </si>
  <si>
    <t xml:space="preserve">Subvention "Emploi"</t>
  </si>
  <si>
    <t xml:space="preserve">Non</t>
  </si>
  <si>
    <t xml:space="preserve">crédit</t>
  </si>
  <si>
    <t xml:space="preserve">Emploi</t>
  </si>
  <si>
    <t xml:space="preserve">Innovation</t>
  </si>
  <si>
    <t xml:space="preserve">Crédit</t>
  </si>
  <si>
    <t xml:space="preserve">Subvention</t>
  </si>
  <si>
    <t xml:space="preserve">Création</t>
  </si>
  <si>
    <t xml:space="preserve">1. Le coût total de projet</t>
  </si>
  <si>
    <t xml:space="preserve">Subvention "Innovation"</t>
  </si>
  <si>
    <t xml:space="preserve">Croissance</t>
  </si>
  <si>
    <t xml:space="preserve">Crédit Ifs</t>
  </si>
  <si>
    <t xml:space="preserve">Projet vert</t>
  </si>
  <si>
    <t xml:space="preserve">2. Le financement de projet</t>
  </si>
  <si>
    <t xml:space="preserve">2.1 L'apport personnel</t>
  </si>
  <si>
    <t xml:space="preserve">Prime "Emprunt"</t>
  </si>
  <si>
    <t xml:space="preserve">Apport en numéraire</t>
  </si>
  <si>
    <t xml:space="preserve">Projet Vert</t>
  </si>
  <si>
    <t xml:space="preserve">2.2 La contribution (Primes) du FACEJ</t>
  </si>
  <si>
    <t xml:space="preserve">Subvention « création emploi » </t>
  </si>
  <si>
    <t xml:space="preserve">Oui</t>
  </si>
  <si>
    <t xml:space="preserve">Subvention « innovants» </t>
  </si>
  <si>
    <t xml:space="preserve">Subvention (Projets verts et Verdissement)</t>
  </si>
  <si>
    <t xml:space="preserve">2.3 Le crédit sollicité</t>
  </si>
  <si>
    <t xml:space="preserve">An</t>
  </si>
  <si>
    <t xml:space="preserve">Financement IFPs</t>
  </si>
  <si>
    <t xml:space="preserve">Trimestre</t>
  </si>
  <si>
    <t xml:space="preserve">Vérification</t>
  </si>
  <si>
    <t xml:space="preserve">Mois</t>
  </si>
  <si>
    <t xml:space="preserve">Prime « emprunt » (à débloquer après remboursement intégral du prêt)</t>
  </si>
  <si>
    <t xml:space="preserve">Conditions de financement des IFS</t>
  </si>
  <si>
    <t xml:space="preserve">Durée du prêt</t>
  </si>
  <si>
    <t xml:space="preserve">Taux d'interet</t>
  </si>
  <si>
    <t xml:space="preserve">Différé</t>
  </si>
  <si>
    <t xml:space="preserve">mois</t>
  </si>
  <si>
    <t xml:space="preserve">Échéance de paiement</t>
  </si>
  <si>
    <t xml:space="preserve">TAF</t>
  </si>
  <si>
    <t xml:space="preserve">C. ELEMENTS DU COMPTE D'EXPLOITATION PREVISIONNEL (FCFA)</t>
  </si>
  <si>
    <t xml:space="preserve">1. Recettes prévisionnelles</t>
  </si>
  <si>
    <t xml:space="preserve">Taux de croissance</t>
  </si>
  <si>
    <t xml:space="preserve">Désignations/Années</t>
  </si>
  <si>
    <t xml:space="preserve">AN1</t>
  </si>
  <si>
    <t xml:space="preserve">AN2</t>
  </si>
  <si>
    <t xml:space="preserve">AN3</t>
  </si>
  <si>
    <t xml:space="preserve">AN4</t>
  </si>
  <si>
    <t xml:space="preserve">AN5</t>
  </si>
  <si>
    <t xml:space="preserve">Total recettes </t>
  </si>
  <si>
    <t xml:space="preserve">2. Charges d'exploitation</t>
  </si>
  <si>
    <t xml:space="preserve">2.1 Achats</t>
  </si>
  <si>
    <t xml:space="preserve">Total </t>
  </si>
  <si>
    <t xml:space="preserve">2.2 Charges de Personnel</t>
  </si>
  <si>
    <t xml:space="preserve">Frais de personnel</t>
  </si>
  <si>
    <t xml:space="preserve">Masse salariale</t>
  </si>
  <si>
    <t xml:space="preserve">2.3 Impôts et taxes</t>
  </si>
  <si>
    <t xml:space="preserve">Taxes apprentissage</t>
  </si>
  <si>
    <t xml:space="preserve">Contribution forfaitaire</t>
  </si>
  <si>
    <t xml:space="preserve">Taxe de logement</t>
  </si>
  <si>
    <t xml:space="preserve">Autres impots et taxes (taxe de voirie, licences, droits d’enregistrement / de timbre, synthétique)</t>
  </si>
  <si>
    <t xml:space="preserve">2.4 Travaux-Fournitures et Services Extérieurs (TFSE)</t>
  </si>
  <si>
    <t xml:space="preserve">2.5 Autres charges</t>
  </si>
  <si>
    <t xml:space="preserve">267 Dotation aux amortissements</t>
  </si>
  <si>
    <t xml:space="preserve">Taux</t>
  </si>
  <si>
    <t xml:space="preserve">AN1 </t>
  </si>
  <si>
    <t xml:space="preserve">Frais d'établissement</t>
  </si>
  <si>
    <t xml:space="preserve">2.8 Frais financiers  et charges assimilées</t>
  </si>
  <si>
    <t xml:space="preserve">Montant du Prêt  :</t>
  </si>
  <si>
    <t xml:space="preserve">FCFA</t>
  </si>
  <si>
    <t xml:space="preserve">Taux d'intérêt  :</t>
  </si>
  <si>
    <t xml:space="preserve">par an soit</t>
  </si>
  <si>
    <t xml:space="preserve">par mois</t>
  </si>
  <si>
    <t xml:space="preserve">TAF    :</t>
  </si>
  <si>
    <t xml:space="preserve">par an</t>
  </si>
  <si>
    <t xml:space="preserve">Taux d'intérêt appliqué TTC  :</t>
  </si>
  <si>
    <t xml:space="preserve">Période de remboursement  :</t>
  </si>
  <si>
    <t xml:space="preserve">Période de différé  :</t>
  </si>
  <si>
    <t xml:space="preserve">Durée du prêt :</t>
  </si>
  <si>
    <t xml:space="preserve">Nombre d'échéance  :</t>
  </si>
  <si>
    <t xml:space="preserve">Période</t>
  </si>
  <si>
    <t xml:space="preserve">Intérêts</t>
  </si>
  <si>
    <t xml:space="preserve">Frais Financier</t>
  </si>
  <si>
    <t xml:space="preserve">Remboursement</t>
  </si>
  <si>
    <t xml:space="preserve">Principal</t>
  </si>
  <si>
    <t xml:space="preserve">Périodicité
dégressive</t>
  </si>
  <si>
    <t xml:space="preserve">Périodicité
linéaire</t>
  </si>
  <si>
    <t xml:space="preserve">D. COMPTE D'EXPLOITATION PREVISIONNEL (FCFA)</t>
  </si>
  <si>
    <t xml:space="preserve">Achats (matières premières et autres achats)</t>
  </si>
  <si>
    <t xml:space="preserve">Charges de Personnel</t>
  </si>
  <si>
    <t xml:space="preserve">Travaux-Fournitures et Services Extérieurs (TFSE)</t>
  </si>
  <si>
    <t xml:space="preserve">Autres charges</t>
  </si>
  <si>
    <t xml:space="preserve">Frais financiers  et charges assimilées</t>
  </si>
  <si>
    <t xml:space="preserve">Dotations aux amortissements</t>
  </si>
  <si>
    <t xml:space="preserve">Total charges</t>
  </si>
  <si>
    <t xml:space="preserve"> </t>
  </si>
  <si>
    <t xml:space="preserve">Résultats bruts</t>
  </si>
  <si>
    <t xml:space="preserve">BIC </t>
  </si>
  <si>
    <t xml:space="preserve">Impôts et taxes</t>
  </si>
  <si>
    <t xml:space="preserve">Résultats nets</t>
  </si>
  <si>
    <t xml:space="preserve">CAF</t>
  </si>
  <si>
    <t xml:space="preserve">CAF CUMULEE</t>
  </si>
  <si>
    <t xml:space="preserve">E. COMPTE DE TRESORERIE  (FCFA)</t>
  </si>
  <si>
    <t xml:space="preserve">AN0</t>
  </si>
  <si>
    <t xml:space="preserve">SOURCES DE FONDS</t>
  </si>
  <si>
    <t xml:space="preserve">Apport personnel</t>
  </si>
  <si>
    <t xml:space="preserve">Crédit </t>
  </si>
  <si>
    <t xml:space="preserve">Contribution (Primes) FACEJ</t>
  </si>
  <si>
    <t xml:space="preserve">Subvention (Projet Vert/verdissement)</t>
  </si>
  <si>
    <t xml:space="preserve">Dotation aux Amortissements</t>
  </si>
  <si>
    <t xml:space="preserve">Total RESSOURCES</t>
  </si>
  <si>
    <t xml:space="preserve">EMPLOIS DE FONDS</t>
  </si>
  <si>
    <t xml:space="preserve">Frais d'établissements</t>
  </si>
  <si>
    <t xml:space="preserve">Frais d'investissement</t>
  </si>
  <si>
    <t xml:space="preserve">BFR</t>
  </si>
  <si>
    <t xml:space="preserve">Remboursement de CREDIT MOYEN TERME</t>
  </si>
  <si>
    <t xml:space="preserve">Total EMPLOIS</t>
  </si>
  <si>
    <t xml:space="preserve">TRESORERIE DEGAGEE</t>
  </si>
  <si>
    <t xml:space="preserve">TRESORERIE CUMULEE</t>
  </si>
  <si>
    <t xml:space="preserve">ELEMENTS DU CALCUL DES RATIOS</t>
  </si>
  <si>
    <t xml:space="preserve">TRI (sur CAF, hors financement)</t>
  </si>
  <si>
    <t xml:space="preserve">Sur 5 ans</t>
  </si>
  <si>
    <t xml:space="preserve">VAN (sur CAF, hors financement)</t>
  </si>
  <si>
    <t xml:space="preserve">Calcul du délai de recuperation des capitaux investis</t>
  </si>
  <si>
    <t xml:space="preserve">AN 1</t>
  </si>
  <si>
    <t xml:space="preserve">AN 2</t>
  </si>
  <si>
    <t xml:space="preserve">AN 3</t>
  </si>
  <si>
    <t xml:space="preserve">AN 4</t>
  </si>
  <si>
    <t xml:space="preserve">AN 5</t>
  </si>
  <si>
    <t xml:space="preserve">CAF annuelle (autofinancement dégagé)</t>
  </si>
  <si>
    <t xml:space="preserve">CAF cumulée</t>
  </si>
  <si>
    <t xml:space="preserve">CALCUL DU DELAI DE RECUPERATION (base CAF, corrige)</t>
  </si>
  <si>
    <t xml:space="preserve">Nombre d'années pleines non couvertes (n)</t>
  </si>
  <si>
    <t xml:space="preserve">CAF cumulée à la fin de l'année n</t>
  </si>
  <si>
    <t xml:space="preserve">CAF de l'année n+1</t>
  </si>
  <si>
    <t xml:space="preserve">Délai de récupération (années décimales)</t>
  </si>
  <si>
    <t xml:space="preserve">Periode de recuperation</t>
  </si>
  <si>
    <t xml:space="preserve">Délai de récupération - SANS actualisation</t>
  </si>
  <si>
    <t xml:space="preserve">(sans actualisation)</t>
  </si>
  <si>
    <t xml:space="preserve">CAF actualisée par année (taux = A24)</t>
  </si>
  <si>
    <t xml:space="preserve">CAF actualisée</t>
  </si>
  <si>
    <t xml:space="preserve">Cumul CAF actualisée</t>
  </si>
  <si>
    <t xml:space="preserve">Nombre d'années pleines non couvertes (actualisé)</t>
  </si>
  <si>
    <t xml:space="preserve">Cumul CAF actualisée à la fin de l'année n</t>
  </si>
  <si>
    <t xml:space="preserve">CAF actualisée de l'année n+1</t>
  </si>
  <si>
    <t xml:space="preserve">Délai de récupération actualisé (années décimales)</t>
  </si>
  <si>
    <t xml:space="preserve">Délai de récupération - AVEC actualisation</t>
  </si>
  <si>
    <t xml:space="preserve">F. BILAN D'OUVERTURE  (FCFA)</t>
  </si>
  <si>
    <t xml:space="preserve">BILAN DE DEMARRAGE TOUT TYPE PROJET</t>
  </si>
  <si>
    <t xml:space="preserve">ACTIF</t>
  </si>
  <si>
    <t xml:space="preserve">MONTANT</t>
  </si>
  <si>
    <t xml:space="preserve">PASSIF</t>
  </si>
  <si>
    <t xml:space="preserve">ACTIF IMMOBILISE</t>
  </si>
  <si>
    <t xml:space="preserve">CAPITAUX PROPRES ET RESSOURCES ASSIMILEES</t>
  </si>
  <si>
    <t xml:space="preserve">Immobilisations incorporelles</t>
  </si>
  <si>
    <t xml:space="preserve">Capitaux Propres (a)+(b)</t>
  </si>
  <si>
    <t xml:space="preserve">Apport en Nature (a)</t>
  </si>
  <si>
    <t xml:space="preserve">Apport en Espéces (b)</t>
  </si>
  <si>
    <t xml:space="preserve">Résultat net de l'exercice (bénéfice + ou perte -)</t>
  </si>
  <si>
    <t xml:space="preserve">Autres capitaux propres</t>
  </si>
  <si>
    <t xml:space="preserve">Subventions d'investissement </t>
  </si>
  <si>
    <t xml:space="preserve">Immobilisations corporelles</t>
  </si>
  <si>
    <t xml:space="preserve">TOTAL CAPITAUX PROPRES (I)</t>
  </si>
  <si>
    <t xml:space="preserve">DETTES FINANCIERES ET RESSOURCES ASSIMILEES</t>
  </si>
  <si>
    <t xml:space="preserve">Emprunts</t>
  </si>
  <si>
    <t xml:space="preserve">Dettes de crédit-bail et contrats assimilés</t>
  </si>
  <si>
    <t xml:space="preserve">Dettes financières diverses</t>
  </si>
  <si>
    <t xml:space="preserve">TOTAL DES DETTES FINANCIERES (II)</t>
  </si>
  <si>
    <t xml:space="preserve">TOTAL DES RESSOURCES STABLES ( I + II)</t>
  </si>
  <si>
    <t xml:space="preserve">Anciens équipements</t>
  </si>
  <si>
    <t xml:space="preserve">TOTAL ACTIF IMMOBILISE (I)</t>
  </si>
  <si>
    <t xml:space="preserve">ACTIF CIRCULANT</t>
  </si>
  <si>
    <t xml:space="preserve">PASSIF CIRCULANT</t>
  </si>
  <si>
    <t xml:space="preserve">Stocks</t>
  </si>
  <si>
    <t xml:space="preserve">Clients, avances reçues</t>
  </si>
  <si>
    <t xml:space="preserve">Marchandises</t>
  </si>
  <si>
    <t xml:space="preserve">Fournisseurs </t>
  </si>
  <si>
    <t xml:space="preserve">Matières premières et autres approvisionnements</t>
  </si>
  <si>
    <t xml:space="preserve">Dettes fiscales</t>
  </si>
  <si>
    <t xml:space="preserve">En-cours</t>
  </si>
  <si>
    <t xml:space="preserve">Dettes sociales</t>
  </si>
  <si>
    <t xml:space="preserve">Produits fabriqués</t>
  </si>
  <si>
    <t xml:space="preserve">Autres dettes</t>
  </si>
  <si>
    <t xml:space="preserve">Créances et emplois assimilés</t>
  </si>
  <si>
    <t xml:space="preserve">TOTAL PASSIF CIRCULANT (III)</t>
  </si>
  <si>
    <t xml:space="preserve">Fournisseurs, avances versées</t>
  </si>
  <si>
    <t xml:space="preserve">Clients</t>
  </si>
  <si>
    <t xml:space="preserve">TRESORERIE - PASSIF</t>
  </si>
  <si>
    <t xml:space="preserve">Autres créances</t>
  </si>
  <si>
    <t xml:space="preserve">Banques, crédits de trésorerie</t>
  </si>
  <si>
    <t xml:space="preserve">Banques, découverts</t>
  </si>
  <si>
    <t xml:space="preserve">TOTAL ACTIF CIRCULANT (II)</t>
  </si>
  <si>
    <t xml:space="preserve">TOTAL TRESORERIE PASSIF (IV)</t>
  </si>
  <si>
    <t xml:space="preserve">TRESORERIE - ACTIF</t>
  </si>
  <si>
    <t xml:space="preserve">valeurs à encaisser</t>
  </si>
  <si>
    <t xml:space="preserve">Banques, caisse</t>
  </si>
  <si>
    <t xml:space="preserve">TOTAL TRESORERIE ACTIF (III)</t>
  </si>
  <si>
    <t xml:space="preserve">TOTAL GENERAL ( I+II+III)</t>
  </si>
  <si>
    <t xml:space="preserve">TOTAL GENERAL ( I+II+III+IV )</t>
  </si>
  <si>
    <t xml:space="preserve">G. RATIOS D'ANALYSE ECONOMIQUE ET FINANCIERE (FCFA)</t>
  </si>
  <si>
    <t xml:space="preserve">1. Le taux de valeur ajoutée</t>
  </si>
  <si>
    <t xml:space="preserve">Impôts et taxes (non inclus dans la VA)</t>
  </si>
  <si>
    <t xml:space="preserve">Frais financiers</t>
  </si>
  <si>
    <t xml:space="preserve">Resultats bruts</t>
  </si>
  <si>
    <t xml:space="preserve">Total VA</t>
  </si>
  <si>
    <t xml:space="preserve">Chiffre d'affaires</t>
  </si>
  <si>
    <t xml:space="preserve">Taux de VA (%)</t>
  </si>
  <si>
    <t xml:space="preserve">Taux moyen de la Valeur Ajoutée</t>
  </si>
  <si>
    <t xml:space="preserve">2. Le seuil de rentabilité</t>
  </si>
  <si>
    <t xml:space="preserve">Charges fixes</t>
  </si>
  <si>
    <t xml:space="preserve">Charges variables</t>
  </si>
  <si>
    <t xml:space="preserve">Achats</t>
  </si>
  <si>
    <t xml:space="preserve">Frais de Personnel</t>
  </si>
  <si>
    <t xml:space="preserve">Frais financiers et services de la dette</t>
  </si>
  <si>
    <t xml:space="preserve">2. Le Seuil de rentabilité (année 3)</t>
  </si>
  <si>
    <t xml:space="preserve">% DU CA</t>
  </si>
  <si>
    <t xml:space="preserve">    Seuil de rentabilité (année 1)</t>
  </si>
  <si>
    <t xml:space="preserve">3. Le taux de rentabilité interne (TRI)</t>
  </si>
  <si>
    <t xml:space="preserve">4. La valeur actuelle nette (VAN)</t>
  </si>
  <si>
    <t xml:space="preserve">F.CFA</t>
  </si>
  <si>
    <t xml:space="preserve">5.  Délais de récupération (sans actualisation, avec actualisation)</t>
  </si>
  <si>
    <t xml:space="preserve">  Sans actualisation</t>
  </si>
  <si>
    <t xml:space="preserve">  Avec actualisation au taux de</t>
  </si>
  <si>
    <t xml:space="preserve">6. Le taux de marge nette de la troisième année
(résultat net / chiffre d'affaires)</t>
  </si>
  <si>
    <t xml:space="preserve">Rubriques </t>
  </si>
  <si>
    <t xml:space="preserve">Année 0
(mise en œuvre)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</si>
  <si>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</si>
  <si>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</si>
  <si>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</si>
  <si>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</si>
  <si>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</si>
  <si>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</si>
  <si>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</si>
  <si>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Mois 8</t>
  </si>
  <si>
    <t xml:space="preserve">Mois 9</t>
  </si>
  <si>
    <t xml:space="preserve">Mois 10</t>
  </si>
  <si>
    <t xml:space="preserve">Mois 11</t>
  </si>
  <si>
    <t xml:space="preserve">Mois 12</t>
  </si>
  <si>
    <t xml:space="preserve">Total des Entrées</t>
  </si>
  <si>
    <t xml:space="preserve">Total des dépenses</t>
  </si>
  <si>
    <t xml:space="preserve">Argent disponible en fin de mois</t>
  </si>
  <si>
    <t xml:space="preserve">Trésorérie cumulée</t>
  </si>
  <si>
    <t xml:space="preserve">Mois 3 </t>
  </si>
  <si>
    <t xml:space="preserve">Produits</t>
  </si>
  <si>
    <t xml:space="preserve">Total des Produits</t>
  </si>
  <si>
    <t xml:space="preserve">Charges </t>
  </si>
  <si>
    <t xml:space="preserve">Matières premières</t>
  </si>
  <si>
    <t xml:space="preserve">Amortissement</t>
  </si>
  <si>
    <t xml:space="preserve">Total des charges</t>
  </si>
  <si>
    <t xml:space="preserve">Résultat Brut</t>
  </si>
  <si>
    <t xml:space="preserve">Résultat</t>
  </si>
  <si>
    <t xml:space="preserve">FICHE SIGNALETIQUE</t>
  </si>
  <si>
    <t xml:space="preserve">I. Financement du Projet</t>
  </si>
  <si>
    <t xml:space="preserve">Coût Total du projet </t>
  </si>
  <si>
    <t xml:space="preserve">Montant de l’apport personnel (……..%)</t>
  </si>
  <si>
    <t xml:space="preserve">Montant des subventions et prime accordées (……%)</t>
  </si>
  <si>
    <t xml:space="preserve">Subvention emploi</t>
  </si>
  <si>
    <t xml:space="preserve">Subvention innovation </t>
  </si>
  <si>
    <t xml:space="preserve">Prime crédit</t>
  </si>
  <si>
    <t xml:space="preserve">Montant des subventions (Projet Vert ou Verdissement)</t>
  </si>
  <si>
    <t xml:space="preserve">Subvention </t>
  </si>
  <si>
    <t xml:space="preserve">Montant du crédit de financement sollicité (…. %) </t>
  </si>
  <si>
    <t xml:space="preserve">Crédit Moyen Terme</t>
  </si>
  <si>
    <t xml:space="preserve">Crédit Court Terme </t>
  </si>
  <si>
    <t xml:space="preserve">II. Conditions de financement du crédit</t>
  </si>
  <si>
    <t xml:space="preserve">Institution de financement</t>
  </si>
  <si>
    <t xml:space="preserve">(Nom de l’IFP)</t>
  </si>
  <si>
    <t xml:space="preserve">(à renseigner)</t>
  </si>
  <si>
    <t xml:space="preserve">Numéro de compte bancaire</t>
  </si>
  <si>
    <t xml:space="preserve">Durée du prêt </t>
  </si>
  <si>
    <t xml:space="preserve">(Années et mois)</t>
  </si>
  <si>
    <t xml:space="preserve">Taux du prêt </t>
  </si>
  <si>
    <t xml:space="preserve">Taux du crédit Moyen terme </t>
  </si>
  <si>
    <t xml:space="preserve">Taux du crédit Court terme </t>
  </si>
  <si>
    <t xml:space="preserve">III. Données économiques</t>
  </si>
  <si>
    <t xml:space="preserve">Chiffre d’affaires de référence (Entreprise en croissance)</t>
  </si>
  <si>
    <t xml:space="preserve">(Année 0)</t>
  </si>
  <si>
    <t xml:space="preserve">Chiffres d’affaires prévisionnel</t>
  </si>
  <si>
    <t xml:space="preserve">1ère année</t>
  </si>
  <si>
    <t xml:space="preserve">2ème année</t>
  </si>
  <si>
    <t xml:space="preserve">3ème année</t>
  </si>
  <si>
    <t xml:space="preserve">Résultats Nets</t>
  </si>
  <si>
    <t xml:space="preserve">Capacité d’autofinancement</t>
  </si>
  <si>
    <t xml:space="preserve">IV. Quelques ratios</t>
  </si>
  <si>
    <t xml:space="preserve">Seuil de Rentabilité</t>
  </si>
  <si>
    <t xml:space="preserve">Valeur ajoutée</t>
  </si>
  <si>
    <t xml:space="preserve">TRI</t>
  </si>
  <si>
    <t xml:space="preserve">Délai de récupération</t>
  </si>
  <si>
    <t xml:space="preserve">Sans actualisation</t>
  </si>
  <si>
    <t xml:space="preserve">Avec actualisation</t>
  </si>
  <si>
    <t xml:space="preserve">V. Emplois</t>
  </si>
  <si>
    <t xml:space="preserve">Nombre d’emploi existant</t>
  </si>
  <si>
    <t xml:space="preserve">Création de nouveaux emplois</t>
  </si>
  <si>
    <t xml:space="preserve">Type</t>
  </si>
  <si>
    <t xml:space="preserve">Hommes</t>
  </si>
  <si>
    <t xml:space="preserve">Femmes</t>
  </si>
  <si>
    <t xml:space="preserve">ESTIMATION COÛT DU PROJET</t>
  </si>
  <si>
    <t xml:space="preserve">PLAN DE FINANCEMENT</t>
  </si>
  <si>
    <t xml:space="preserve">Rubriques</t>
  </si>
  <si>
    <t xml:space="preserve">Coût du projet</t>
  </si>
  <si>
    <t xml:space="preserve">Emprunt ou Subvention</t>
  </si>
  <si>
    <t xml:space="preserve">Frais d'étude</t>
  </si>
  <si>
    <t xml:space="preserve">Frais de suivi </t>
  </si>
  <si>
    <t xml:space="preserve">Fais  d'enrégistrement</t>
  </si>
  <si>
    <t xml:space="preserve">Terrain</t>
  </si>
  <si>
    <t xml:space="preserve">Construction</t>
  </si>
  <si>
    <t xml:space="preserve">Agencement -aménagement et installations</t>
  </si>
  <si>
    <t xml:space="preserve">Equipements d'exploitation</t>
  </si>
  <si>
    <t xml:space="preserve">Matériel et mobiliers de bureau</t>
  </si>
  <si>
    <t xml:space="preserve">Matériel roulant/transport</t>
  </si>
  <si>
    <t xml:space="preserve">Sur achats de matières premières (3 mois)</t>
  </si>
  <si>
    <t xml:space="preserve">Sur frais de personnel(3 mois)</t>
  </si>
  <si>
    <t xml:space="preserve">Sur TFSE (3 mois)</t>
  </si>
  <si>
    <t xml:space="preserve">Sécurité de caisse(1 mois)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</si>
</sst>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%"/>
    <numFmt numFmtId="167" formatCode="#,##0\ _€"/>
    <numFmt numFmtId="168" formatCode="General"/>
    <numFmt numFmtId="169" formatCode="_-* #,##0\ _€_-;\-* #,##0\ _€_-;_-* \-??\ _€_-;_-@_-"/>
    <numFmt numFmtId="170" formatCode="_-* #,##0\ _€_-;\-* #,##0\ _€_-;_-* &quot;- &quot;_€_-;_-@_-"/>
    <numFmt numFmtId="171" formatCode="0.00%"/>
    <numFmt numFmtId="172" formatCode="#,##0_ ;\-#,##0\ "/>
    <numFmt numFmtId="173" formatCode="#,##0_ ;[RED]\-#,##0\ "/>
    <numFmt numFmtId="174" formatCode="#,##0.00&quot; €&quot;;[RED]\-#,##0.00&quot; €&quot;"/>
    <numFmt numFmtId="175" formatCode="0"/>
    <numFmt numFmtId="176" formatCode="0.00"/>
    <numFmt numFmtId="177" formatCode="0.00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theme="1"/>
      <name val="Cambria"/>
      <family val="1"/>
      <charset val="1"/>
    </font>
    <font>
      <b val="true"/>
      <sz val="20"/>
      <color theme="0"/>
      <name val="Cambria"/>
      <family val="1"/>
      <charset val="1"/>
    </font>
    <font>
      <sz val="1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0"/>
      <color theme="0"/>
      <name val="Cambria"/>
      <family val="1"/>
      <charset val="1"/>
    </font>
    <font>
      <b val="true"/>
      <sz val="10"/>
      <color theme="1"/>
      <name val="Cambria"/>
      <family val="1"/>
      <charset val="1"/>
    </font>
    <font>
      <sz val="10"/>
      <color theme="0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theme="0"/>
      <name val="Cambria"/>
      <family val="1"/>
      <charset val="1"/>
    </font>
    <font>
      <b val="true"/>
      <i val="true"/>
      <sz val="14"/>
      <color theme="0"/>
      <name val="Cambria"/>
      <family val="1"/>
      <charset val="1"/>
    </font>
    <font>
      <sz val="11"/>
      <color theme="1"/>
      <name val="Cambria"/>
      <family val="1"/>
      <charset val="1"/>
    </font>
    <font>
      <b val="true"/>
      <i val="true"/>
      <sz val="12"/>
      <color theme="0"/>
      <name val="Cambria"/>
      <family val="1"/>
      <charset val="1"/>
    </font>
    <font>
      <b val="true"/>
      <sz val="14"/>
      <color theme="1"/>
      <name val="Cambria"/>
      <family val="1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color rgb="FFFF0000"/>
      <name val="Cambria"/>
      <family val="1"/>
      <charset val="1"/>
    </font>
    <font>
      <b val="true"/>
      <sz val="14"/>
      <color theme="0"/>
      <name val="Cambria"/>
      <family val="1"/>
      <charset val="1"/>
    </font>
    <font>
      <b val="true"/>
      <i val="true"/>
      <sz val="11"/>
      <color theme="1"/>
      <name val="Cambria"/>
      <family val="1"/>
      <charset val="1"/>
    </font>
    <font>
      <i val="true"/>
      <sz val="11"/>
      <color theme="1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i val="true"/>
      <sz val="14"/>
      <color theme="1"/>
      <name val="Cambria"/>
      <family val="1"/>
      <charset val="1"/>
    </font>
    <font>
      <b val="true"/>
      <i val="true"/>
      <sz val="11"/>
      <color theme="0"/>
      <name val="Cambria"/>
      <family val="1"/>
      <charset val="1"/>
    </font>
    <font>
      <sz val="11"/>
      <name val="Cambria"/>
      <family val="1"/>
      <charset val="1"/>
    </font>
    <font>
      <b val="true"/>
      <sz val="16"/>
      <name val="Cambria"/>
      <family val="1"/>
      <charset val="1"/>
    </font>
    <font>
      <b val="true"/>
      <i val="true"/>
      <sz val="14"/>
      <name val="Cambria"/>
      <family val="1"/>
      <charset val="1"/>
    </font>
    <font>
      <b val="true"/>
      <i val="true"/>
      <sz val="10"/>
      <name val="Cambria"/>
      <family val="1"/>
      <charset val="1"/>
    </font>
    <font>
      <b val="true"/>
      <i val="true"/>
      <sz val="12"/>
      <name val="Cambria"/>
      <family val="1"/>
      <charset val="1"/>
    </font>
    <font>
      <b val="true"/>
      <i val="true"/>
      <sz val="11"/>
      <name val="Cambria"/>
      <family val="1"/>
      <charset val="1"/>
    </font>
    <font>
      <b val="true"/>
      <sz val="12"/>
      <color theme="0"/>
      <name val="Cambria"/>
      <family val="1"/>
      <charset val="1"/>
    </font>
    <font>
      <b val="true"/>
      <sz val="12"/>
      <name val="Cambria"/>
      <family val="1"/>
      <charset val="1"/>
    </font>
    <font>
      <i val="true"/>
      <sz val="11"/>
      <name val="Cambria"/>
      <family val="1"/>
      <charset val="1"/>
    </font>
    <font>
      <sz val="9"/>
      <name val="Cambria"/>
      <family val="1"/>
      <charset val="1"/>
    </font>
    <font>
      <sz val="11"/>
      <color theme="1"/>
      <name val="Garamond"/>
      <family val="1"/>
      <charset val="1"/>
    </font>
    <font>
      <b val="true"/>
      <sz val="12"/>
      <name val="Garamond"/>
      <family val="1"/>
      <charset val="1"/>
    </font>
    <font>
      <b val="true"/>
      <sz val="12"/>
      <color rgb="FF800000"/>
      <name val="Garamond"/>
      <family val="1"/>
      <charset val="1"/>
    </font>
    <font>
      <sz val="12"/>
      <color rgb="FF800000"/>
      <name val="Garamond"/>
      <family val="1"/>
      <charset val="1"/>
    </font>
    <font>
      <sz val="12"/>
      <name val="Garamond"/>
      <family val="1"/>
      <charset val="1"/>
    </font>
    <font>
      <sz val="9"/>
      <name val="Garamond"/>
      <family val="1"/>
      <charset val="1"/>
    </font>
    <font>
      <b val="true"/>
      <sz val="12"/>
      <color rgb="FF000080"/>
      <name val="Garamond"/>
      <family val="1"/>
      <charset val="1"/>
    </font>
    <font>
      <sz val="12"/>
      <color rgb="FF000080"/>
      <name val="Garamond"/>
      <family val="1"/>
      <charset val="1"/>
    </font>
    <font>
      <sz val="14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 Light"/>
      <family val="1"/>
      <charset val="1"/>
    </font>
    <font>
      <sz val="12"/>
      <color theme="1"/>
      <name val="Calibri Light"/>
      <family val="1"/>
      <charset val="1"/>
    </font>
    <font>
      <b val="true"/>
      <sz val="12"/>
      <color theme="1"/>
      <name val="Calibri Light"/>
      <family val="2"/>
      <charset val="1"/>
    </font>
    <font>
      <b val="true"/>
      <sz val="12"/>
      <name val="Calibri Light"/>
      <family val="1"/>
      <charset val="1"/>
    </font>
    <font>
      <sz val="10"/>
      <color theme="1"/>
      <name val="Calibri Light"/>
      <family val="1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2"/>
      <color rgb="FFFF0000"/>
      <name val="Calibri Light"/>
      <family val="1"/>
      <charset val="1"/>
    </font>
    <font>
      <b val="true"/>
      <sz val="10"/>
      <name val="Arial"/>
      <family val="2"/>
      <charset val="1"/>
    </font>
    <font>
      <sz val="12"/>
      <name val="Cambria"/>
      <family val="1"/>
      <charset val="1"/>
    </font>
    <font>
      <b val="true"/>
      <sz val="11"/>
      <color theme="0"/>
      <name val="Cambria"/>
      <family val="1"/>
      <charset val="1"/>
    </font>
    <font>
      <sz val="11"/>
      <color theme="1"/>
      <name val="Cambira"/>
      <family val="0"/>
      <charset val="1"/>
    </font>
    <font>
      <b val="true"/>
      <sz val="11"/>
      <color theme="0"/>
      <name val="Cambira"/>
      <family val="0"/>
      <charset val="1"/>
    </font>
    <font>
      <sz val="11"/>
      <name val="Cambira"/>
      <family val="0"/>
      <charset val="1"/>
    </font>
    <font>
      <b val="true"/>
      <sz val="11"/>
      <color rgb="FF000080"/>
      <name val="Cambira"/>
      <family val="0"/>
      <charset val="1"/>
    </font>
    <font>
      <i val="true"/>
      <sz val="9"/>
      <color theme="1"/>
      <name val="Cambria"/>
      <family val="1"/>
      <charset val="1"/>
    </font>
    <font>
      <sz val="9"/>
      <color theme="1"/>
      <name val="Calibri"/>
      <family val="2"/>
      <charset val="1"/>
    </font>
    <font>
      <i val="true"/>
      <sz val="10"/>
      <color theme="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0"/>
      <color theme="1"/>
      <name val="Times New Roman"/>
      <family val="1"/>
      <charset val="1"/>
    </font>
    <font>
      <i val="true"/>
      <sz val="11"/>
      <color rgb="FF000000"/>
      <name val="Cambria"/>
      <family val="1"/>
      <charset val="1"/>
    </font>
    <font>
      <b val="true"/>
      <sz val="14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66B7F"/>
      </patternFill>
    </fill>
    <fill>
      <patternFill patternType="solid">
        <fgColor theme="0"/>
        <bgColor rgb="FFF2F2F2"/>
      </patternFill>
    </fill>
    <fill>
      <patternFill patternType="solid">
        <fgColor theme="8" tint="0.7998"/>
        <bgColor rgb="FFE7E6E6"/>
      </patternFill>
    </fill>
    <fill>
      <patternFill patternType="solid">
        <fgColor theme="4" tint="0.3998"/>
        <bgColor rgb="FFB4C7E7"/>
      </patternFill>
    </fill>
    <fill>
      <patternFill patternType="solid">
        <fgColor theme="5" tint="-0.25"/>
        <bgColor rgb="FFD63431"/>
      </patternFill>
    </fill>
    <fill>
      <patternFill patternType="solid">
        <fgColor theme="5" tint="0.7998"/>
        <bgColor rgb="FFFFF2CC"/>
      </patternFill>
    </fill>
    <fill>
      <patternFill patternType="solid">
        <fgColor theme="9" tint="0.5998"/>
        <bgColor rgb="FFC9C9C9"/>
      </patternFill>
    </fill>
    <fill>
      <patternFill patternType="solid">
        <fgColor theme="3" tint="0.5998"/>
        <bgColor rgb="FFC0C0C0"/>
      </patternFill>
    </fill>
    <fill>
      <patternFill patternType="solid">
        <fgColor theme="5" tint="0.5998"/>
        <bgColor rgb="FFF4C9C8"/>
      </patternFill>
    </fill>
    <fill>
      <patternFill patternType="solid">
        <fgColor theme="2" tint="-0.25"/>
        <bgColor rgb="FFADB9CA"/>
      </patternFill>
    </fill>
    <fill>
      <patternFill patternType="solid">
        <fgColor theme="0" tint="-0.05"/>
        <bgColor rgb="FFE7E6E6"/>
      </patternFill>
    </fill>
    <fill>
      <patternFill patternType="solid">
        <fgColor rgb="FFFFFF00"/>
        <bgColor rgb="FFFFC000"/>
      </patternFill>
    </fill>
    <fill>
      <patternFill patternType="solid">
        <fgColor rgb="FF166B7F"/>
        <bgColor rgb="FF008080"/>
      </patternFill>
    </fill>
    <fill>
      <patternFill patternType="solid">
        <fgColor rgb="FF7F1F1F"/>
        <bgColor rgb="FF800000"/>
      </patternFill>
    </fill>
    <fill>
      <patternFill patternType="solid">
        <fgColor rgb="FF21A6C9"/>
        <bgColor rgb="FF00CCFF"/>
      </patternFill>
    </fill>
    <fill>
      <patternFill patternType="solid">
        <fgColor rgb="FFCCFFFF"/>
        <bgColor rgb="FFE2F0D9"/>
      </patternFill>
    </fill>
    <fill>
      <patternFill patternType="solid">
        <fgColor rgb="FF00CCFF"/>
        <bgColor rgb="FF21A6C9"/>
      </patternFill>
    </fill>
    <fill>
      <patternFill patternType="solid">
        <fgColor rgb="FF00B050"/>
        <bgColor rgb="FF008080"/>
      </patternFill>
    </fill>
    <fill>
      <patternFill patternType="solid">
        <fgColor rgb="FF66FFFF"/>
        <bgColor rgb="FF99FFCC"/>
      </patternFill>
    </fill>
    <fill>
      <patternFill patternType="solid">
        <fgColor rgb="FFF4C9C8"/>
        <bgColor rgb="FFF8CBAD"/>
      </patternFill>
    </fill>
    <fill>
      <patternFill patternType="solid">
        <fgColor theme="2"/>
        <bgColor rgb="FFDAE3F3"/>
      </patternFill>
    </fill>
    <fill>
      <patternFill patternType="solid">
        <fgColor theme="4" tint="0.5998"/>
        <bgColor rgb="FFB4C7E7"/>
      </patternFill>
    </fill>
    <fill>
      <patternFill patternType="solid">
        <fgColor rgb="FF99FFCC"/>
        <bgColor rgb="FF66FFFF"/>
      </patternFill>
    </fill>
    <fill>
      <patternFill patternType="solid">
        <fgColor rgb="FFCCFF99"/>
        <bgColor rgb="FFC5E0B4"/>
      </patternFill>
    </fill>
    <fill>
      <patternFill patternType="solid">
        <fgColor rgb="FFFFCCFF"/>
        <bgColor rgb="FFF4C9C8"/>
      </patternFill>
    </fill>
    <fill>
      <patternFill patternType="solid">
        <fgColor rgb="FFFFC000"/>
        <bgColor rgb="FFFFFF00"/>
      </patternFill>
    </fill>
    <fill>
      <patternFill patternType="solid">
        <fgColor theme="9" tint="0.7998"/>
        <bgColor rgb="FFE7E6E6"/>
      </patternFill>
    </fill>
    <fill>
      <patternFill patternType="solid">
        <fgColor rgb="FFD63431"/>
        <bgColor rgb="FFC55A11"/>
      </patternFill>
    </fill>
    <fill>
      <patternFill patternType="solid">
        <fgColor theme="6" tint="0.3998"/>
        <bgColor rgb="FFC0C0C0"/>
      </patternFill>
    </fill>
    <fill>
      <patternFill patternType="solid">
        <fgColor rgb="FFC0C0C0"/>
        <bgColor rgb="FFC9C9C9"/>
      </patternFill>
    </fill>
    <fill>
      <patternFill patternType="solid">
        <fgColor rgb="FF002060"/>
        <bgColor rgb="FF000080"/>
      </patternFill>
    </fill>
    <fill>
      <patternFill patternType="solid">
        <fgColor theme="9" tint="0.3998"/>
        <bgColor rgb="FFC5E0B4"/>
      </patternFill>
    </fill>
    <fill>
      <patternFill patternType="solid">
        <fgColor theme="7" tint="0.7998"/>
        <bgColor rgb="FFFBE5D6"/>
      </patternFill>
    </fill>
    <fill>
      <patternFill patternType="solid">
        <fgColor theme="0" tint="-0.5"/>
        <bgColor rgb="FF9999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1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14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4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5" fillId="15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5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5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1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6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6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7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27" fillId="16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2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34" fillId="28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8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7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35" fillId="17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24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24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9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9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2" fillId="2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49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7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9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1" fillId="8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5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8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8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8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48" fillId="30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5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3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9" fillId="2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1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2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9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4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6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44" fillId="3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9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2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1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5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5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5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4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4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1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3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2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7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2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0000"/>
      </font>
    </dxf>
    <dxf>
      <fill>
        <patternFill>
          <bgColor theme="8" tint="0.5998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66FFFF"/>
      <rgbColor rgb="FF800000"/>
      <rgbColor rgb="FF008000"/>
      <rgbColor rgb="FF000080"/>
      <rgbColor rgb="FFDAE3F3"/>
      <rgbColor rgb="FF800080"/>
      <rgbColor rgb="FF166B7F"/>
      <rgbColor rgb="FFC0C0C0"/>
      <rgbColor rgb="FF808080"/>
      <rgbColor rgb="FFADB9CA"/>
      <rgbColor rgb="FFD63431"/>
      <rgbColor rgb="FFFFF2CC"/>
      <rgbColor rgb="FFCCFFFF"/>
      <rgbColor rgb="FF660066"/>
      <rgbColor rgb="FFC9C9C9"/>
      <rgbColor rgb="FF0066CC"/>
      <rgbColor rgb="FFBDD7EE"/>
      <rgbColor rgb="FF000080"/>
      <rgbColor rgb="FFFF00FF"/>
      <rgbColor rgb="FFC5E0B4"/>
      <rgbColor rgb="FF99FFCC"/>
      <rgbColor rgb="FF800080"/>
      <rgbColor rgb="FFC00000"/>
      <rgbColor rgb="FF008080"/>
      <rgbColor rgb="FF0000FF"/>
      <rgbColor rgb="FF00CCFF"/>
      <rgbColor rgb="FFE2F0D9"/>
      <rgbColor rgb="FFCCFF99"/>
      <rgbColor rgb="FFFBE5D6"/>
      <rgbColor rgb="FF9DC3E6"/>
      <rgbColor rgb="FFF4C9C8"/>
      <rgbColor rgb="FFAFABAB"/>
      <rgbColor rgb="FFF8CBAD"/>
      <rgbColor rgb="FFE7E6E6"/>
      <rgbColor rgb="FF21A6C9"/>
      <rgbColor rgb="FFA9D18E"/>
      <rgbColor rgb="FFFFC000"/>
      <rgbColor rgb="FFFFCCFF"/>
      <rgbColor rgb="FFC55A11"/>
      <rgbColor rgb="FFB4C7E7"/>
      <rgbColor rgb="FF999999"/>
      <rgbColor rgb="FF002060"/>
      <rgbColor rgb="FF00B050"/>
      <rgbColor rgb="FF003300"/>
      <rgbColor rgb="FF333300"/>
      <rgbColor rgb="FF7F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B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9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</row>
    <row r="5" customFormat="false" ht="90" hidden="false" customHeight="true" outlineLevel="0" collapsed="false">
      <c r="A5" s="5" t="n">
        <v>1</v>
      </c>
      <c r="B5" s="5" t="s">
        <v>7</v>
      </c>
      <c r="C5" s="5" t="s">
        <v>8</v>
      </c>
      <c r="D5" s="5" t="s">
        <v>9</v>
      </c>
      <c r="E5" s="5" t="s">
        <v>10</v>
      </c>
      <c r="F5" s="5"/>
    </row>
    <row r="6" customFormat="false" ht="90" hidden="false" customHeight="tru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5" t="s">
        <v>14</v>
      </c>
      <c r="F6" s="5"/>
    </row>
    <row r="7" customFormat="false" ht="90" hidden="false" customHeight="true" outlineLevel="0" collapsed="false">
      <c r="A7" s="5" t="n">
        <v>3</v>
      </c>
      <c r="B7" s="5" t="s">
        <v>15</v>
      </c>
      <c r="C7" s="5" t="s">
        <v>16</v>
      </c>
      <c r="D7" s="5" t="s">
        <v>17</v>
      </c>
      <c r="E7" s="5" t="s">
        <v>18</v>
      </c>
      <c r="F7" s="5"/>
    </row>
    <row r="8" customFormat="false" ht="90" hidden="false" customHeight="true" outlineLevel="0" collapsed="false">
      <c r="A8" s="5" t="n">
        <v>4</v>
      </c>
      <c r="B8" s="5" t="s">
        <v>19</v>
      </c>
      <c r="C8" s="5" t="s">
        <v>20</v>
      </c>
      <c r="D8" s="5" t="s">
        <v>21</v>
      </c>
      <c r="E8" s="5" t="s">
        <v>22</v>
      </c>
      <c r="F8" s="5"/>
    </row>
    <row r="9" customFormat="false" ht="90" hidden="false" customHeight="true" outlineLevel="0" collapsed="false">
      <c r="A9" s="5" t="n">
        <v>5</v>
      </c>
      <c r="B9" s="5" t="s">
        <v>23</v>
      </c>
      <c r="C9" s="5" t="s">
        <v>24</v>
      </c>
      <c r="D9" s="5" t="s">
        <v>25</v>
      </c>
      <c r="E9" s="5" t="s">
        <v>26</v>
      </c>
      <c r="F9" s="5"/>
    </row>
    <row r="10" customFormat="false" ht="90" hidden="false" customHeight="true" outlineLevel="0" collapsed="false">
      <c r="A10" s="5" t="n">
        <v>6</v>
      </c>
      <c r="B10" s="5" t="s">
        <v>27</v>
      </c>
      <c r="C10" s="5" t="s">
        <v>28</v>
      </c>
      <c r="D10" s="5" t="s">
        <v>29</v>
      </c>
      <c r="E10" s="5" t="s">
        <v>30</v>
      </c>
      <c r="F10" s="5"/>
    </row>
    <row r="11" customFormat="false" ht="90" hidden="false" customHeight="true" outlineLevel="0" collapsed="false">
      <c r="A11" s="5" t="n">
        <v>7</v>
      </c>
      <c r="B11" s="5" t="s">
        <v>31</v>
      </c>
      <c r="C11" s="5" t="s">
        <v>32</v>
      </c>
      <c r="D11" s="5" t="s">
        <v>33</v>
      </c>
      <c r="E11" s="5" t="s">
        <v>30</v>
      </c>
      <c r="F11" s="5"/>
    </row>
    <row r="12" customFormat="false" ht="14.25" hidden="false" customHeight="false" outlineLevel="0" collapsed="false">
      <c r="A12" s="1" t="n">
        <v>8</v>
      </c>
      <c r="B12" s="1" t="s">
        <v>34</v>
      </c>
      <c r="C12" s="1" t="s">
        <v>35</v>
      </c>
      <c r="D12" s="1" t="s">
        <v>36</v>
      </c>
      <c r="E12" s="1" t="s">
        <v>37</v>
      </c>
    </row>
    <row r="14" customFormat="false" ht="14.25" hidden="false" customHeight="true" outlineLevel="0" collapsed="false">
      <c r="A14" s="6" t="s">
        <v>38</v>
      </c>
    </row>
    <row r="15" customFormat="false" ht="14.25" hidden="false" customHeight="true" outlineLevel="0" collapsed="false">
      <c r="A15" s="7" t="n">
        <v>1</v>
      </c>
      <c r="B15" s="7" t="s">
        <v>39</v>
      </c>
      <c r="C15" s="7"/>
    </row>
    <row r="16" customFormat="false" ht="14.25" hidden="false" customHeight="true" outlineLevel="0" collapsed="false">
      <c r="A16" s="8" t="n">
        <v>2</v>
      </c>
      <c r="B16" s="8" t="s">
        <v>40</v>
      </c>
      <c r="C16" s="8"/>
    </row>
    <row r="17" customFormat="false" ht="14.25" hidden="false" customHeight="true" outlineLevel="0" collapsed="false">
      <c r="A17" s="8" t="n">
        <v>3</v>
      </c>
      <c r="B17" s="8" t="s">
        <v>41</v>
      </c>
      <c r="C17" s="8"/>
    </row>
    <row r="18" customFormat="false" ht="14.25" hidden="false" customHeight="true" outlineLevel="0" collapsed="false">
      <c r="A18" s="8" t="n">
        <v>4</v>
      </c>
      <c r="B18" s="8" t="s">
        <v>42</v>
      </c>
      <c r="C18" s="8"/>
    </row>
    <row r="19" customFormat="false" ht="14.25" hidden="false" customHeight="true" outlineLevel="0" collapsed="false">
      <c r="A19" s="8" t="n">
        <v>5</v>
      </c>
      <c r="B19" s="8" t="s">
        <v>43</v>
      </c>
      <c r="C19" s="8"/>
    </row>
    <row r="20" customFormat="false" ht="14.25" hidden="false" customHeight="true" outlineLevel="0" collapsed="false">
      <c r="A20" s="8" t="n">
        <v>6</v>
      </c>
      <c r="B20" s="8" t="s">
        <v>44</v>
      </c>
      <c r="C20" s="8"/>
    </row>
    <row r="21" customFormat="false" ht="14.25" hidden="false" customHeight="true" outlineLevel="0" collapsed="false">
      <c r="A21" s="8" t="n">
        <v>7</v>
      </c>
      <c r="B21" s="8" t="s">
        <v>45</v>
      </c>
      <c r="C21" s="8"/>
    </row>
    <row r="22" customFormat="false" ht="14.25" hidden="false" customHeight="true" outlineLevel="0" collapsed="false">
      <c r="A22" s="8"/>
      <c r="B22" s="8"/>
      <c r="C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08" colorId="64" zoomScale="120" zoomScaleNormal="120" zoomScalePageLayoutView="100" workbookViewId="0">
      <selection pane="topLeft" activeCell="A1" activeCellId="0" sqref="A1"/>
    </sheetView>
  </sheetViews>
  <sheetFormatPr defaultColWidth="11.453125" defaultRowHeight="12" zeroHeight="false" outlineLevelRow="0" outlineLevelCol="0"/>
  <cols>
    <col collapsed="false" customWidth="true" hidden="false" outlineLevel="0" max="1" min="1" style="9" width="37.18"/>
    <col collapsed="false" customWidth="true" hidden="false" outlineLevel="0" max="2" min="2" style="9" width="9.45"/>
    <col collapsed="false" customWidth="true" hidden="false" outlineLevel="0" max="3" min="3" style="9" width="9.54"/>
    <col collapsed="false" customWidth="true" hidden="false" outlineLevel="0" max="4" min="4" style="9" width="14.45"/>
    <col collapsed="false" customWidth="true" hidden="false" outlineLevel="0" max="5" min="5" style="9" width="10.82"/>
    <col collapsed="false" customWidth="true" hidden="false" outlineLevel="0" max="6" min="6" style="9" width="14.09"/>
    <col collapsed="false" customWidth="true" hidden="false" outlineLevel="0" max="7" min="7" style="9" width="10"/>
    <col collapsed="false" customWidth="true" hidden="false" outlineLevel="0" max="8" min="8" style="9" width="11.54"/>
    <col collapsed="false" customWidth="true" hidden="false" outlineLevel="0" max="9" min="9" style="9" width="12.54"/>
    <col collapsed="false" customWidth="true" hidden="false" outlineLevel="0" max="10" min="10" style="9" width="3.45"/>
    <col collapsed="false" customWidth="false" hidden="false" outlineLevel="0" max="16384" min="11" style="9" width="11.45"/>
  </cols>
  <sheetData>
    <row r="1" customFormat="false" ht="12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25.5" hidden="false" customHeight="true" outlineLevel="0" collapsed="false">
      <c r="A2" s="11" t="s">
        <v>46</v>
      </c>
      <c r="B2" s="11"/>
      <c r="C2" s="11"/>
      <c r="D2" s="11"/>
      <c r="E2" s="11"/>
      <c r="F2" s="11"/>
      <c r="G2" s="11"/>
      <c r="H2" s="11"/>
      <c r="I2" s="11"/>
      <c r="J2" s="10"/>
    </row>
    <row r="3" customFormat="false" ht="12.7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0"/>
    </row>
    <row r="4" customFormat="false" ht="12.75" hidden="false" customHeight="true" outlineLevel="0" collapsed="false">
      <c r="A4" s="13" t="s">
        <v>47</v>
      </c>
      <c r="B4" s="13"/>
      <c r="C4" s="13"/>
      <c r="D4" s="13"/>
      <c r="E4" s="13"/>
      <c r="F4" s="13"/>
      <c r="G4" s="13"/>
      <c r="H4" s="13"/>
      <c r="I4" s="13"/>
      <c r="J4" s="10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0"/>
    </row>
    <row r="6" customFormat="false" ht="12.75" hidden="false" customHeight="true" outlineLevel="0" collapsed="false">
      <c r="A6" s="14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6" t="s">
        <v>54</v>
      </c>
      <c r="H6" s="16" t="s">
        <v>55</v>
      </c>
      <c r="I6" s="16" t="s">
        <v>56</v>
      </c>
      <c r="J6" s="10"/>
    </row>
    <row r="7" customFormat="false" ht="12.75" hidden="false" customHeight="true" outlineLevel="0" collapsed="false">
      <c r="A7" s="17" t="s">
        <v>57</v>
      </c>
      <c r="B7" s="18" t="s">
        <v>58</v>
      </c>
      <c r="C7" s="18" t="n">
        <v>0</v>
      </c>
      <c r="D7" s="18" t="n">
        <f aca="false">E7/4</f>
        <v>0</v>
      </c>
      <c r="E7" s="18" t="n">
        <f aca="false">C7*25</f>
        <v>0</v>
      </c>
      <c r="F7" s="18" t="n">
        <v>0</v>
      </c>
      <c r="G7" s="19" t="n">
        <v>6</v>
      </c>
      <c r="H7" s="20" t="n">
        <v>70000</v>
      </c>
      <c r="I7" s="21" t="n">
        <f aca="false">G7*H7</f>
        <v>420000</v>
      </c>
      <c r="J7" s="10"/>
    </row>
    <row r="8" customFormat="false" ht="12.75" hidden="false" customHeight="true" outlineLevel="0" collapsed="false">
      <c r="A8" s="17" t="s">
        <v>59</v>
      </c>
      <c r="B8" s="18" t="s">
        <v>60</v>
      </c>
      <c r="C8" s="18" t="n">
        <v>0</v>
      </c>
      <c r="D8" s="18" t="n">
        <f aca="false">E8/4</f>
        <v>0</v>
      </c>
      <c r="E8" s="18" t="n">
        <f aca="false">C8*25</f>
        <v>0</v>
      </c>
      <c r="F8" s="18" t="n">
        <v>0</v>
      </c>
      <c r="G8" s="19" t="n">
        <v>18</v>
      </c>
      <c r="H8" s="20" t="n">
        <v>25000</v>
      </c>
      <c r="I8" s="21" t="n">
        <f aca="false">G8*H8</f>
        <v>450000</v>
      </c>
      <c r="J8" s="10"/>
    </row>
    <row r="9" customFormat="false" ht="12.75" hidden="false" customHeight="true" outlineLevel="0" collapsed="false">
      <c r="A9" s="17" t="s">
        <v>61</v>
      </c>
      <c r="B9" s="18" t="s">
        <v>60</v>
      </c>
      <c r="C9" s="18"/>
      <c r="D9" s="18"/>
      <c r="E9" s="18"/>
      <c r="F9" s="18" t="n">
        <v>0</v>
      </c>
      <c r="G9" s="19" t="n">
        <v>9</v>
      </c>
      <c r="H9" s="20" t="n">
        <v>20000</v>
      </c>
      <c r="I9" s="21" t="n">
        <f aca="false">G9*H9</f>
        <v>180000</v>
      </c>
      <c r="J9" s="10"/>
    </row>
    <row r="10" customFormat="false" ht="12.75" hidden="false" customHeight="true" outlineLevel="0" collapsed="false">
      <c r="A10" s="17" t="s">
        <v>62</v>
      </c>
      <c r="B10" s="18" t="s">
        <v>58</v>
      </c>
      <c r="C10" s="18"/>
      <c r="D10" s="18"/>
      <c r="E10" s="18" t="n">
        <v>0</v>
      </c>
      <c r="F10" s="18" t="n">
        <v>0</v>
      </c>
      <c r="G10" s="19" t="n">
        <v>6</v>
      </c>
      <c r="H10" s="20" t="n">
        <v>60000</v>
      </c>
      <c r="I10" s="21" t="n">
        <f aca="false">G10*H10</f>
        <v>360000</v>
      </c>
      <c r="J10" s="10"/>
    </row>
    <row r="11" customFormat="false" ht="12.75" hidden="false" customHeight="true" outlineLevel="0" collapsed="false">
      <c r="A11" s="17" t="s">
        <v>63</v>
      </c>
      <c r="B11" s="18" t="s">
        <v>60</v>
      </c>
      <c r="C11" s="18" t="n">
        <v>0</v>
      </c>
      <c r="D11" s="18"/>
      <c r="E11" s="18"/>
      <c r="F11" s="18" t="n">
        <v>0</v>
      </c>
      <c r="G11" s="19" t="n">
        <v>60</v>
      </c>
      <c r="H11" s="20" t="n">
        <v>1000</v>
      </c>
      <c r="I11" s="21" t="n">
        <f aca="false">G11*H11</f>
        <v>60000</v>
      </c>
      <c r="J11" s="10"/>
    </row>
    <row r="12" customFormat="false" ht="12.75" hidden="false" customHeight="true" outlineLevel="0" collapsed="false">
      <c r="A12" s="22" t="n">
        <v>0</v>
      </c>
      <c r="B12" s="23" t="n">
        <v>0</v>
      </c>
      <c r="C12" s="18"/>
      <c r="D12" s="18"/>
      <c r="E12" s="18" t="n">
        <v>0</v>
      </c>
      <c r="F12" s="18" t="n">
        <v>0</v>
      </c>
      <c r="G12" s="19" t="n">
        <f aca="false">F12*4</f>
        <v>0</v>
      </c>
      <c r="H12" s="20" t="n">
        <v>0</v>
      </c>
      <c r="I12" s="21" t="n">
        <f aca="false">G12*H12</f>
        <v>0</v>
      </c>
      <c r="J12" s="10"/>
    </row>
    <row r="13" customFormat="false" ht="12.75" hidden="false" customHeight="true" outlineLevel="0" collapsed="false">
      <c r="A13" s="24" t="s">
        <v>64</v>
      </c>
      <c r="B13" s="25"/>
      <c r="C13" s="26"/>
      <c r="D13" s="26" t="n">
        <f aca="false">SUM(D7:D9)</f>
        <v>0</v>
      </c>
      <c r="E13" s="26" t="n">
        <f aca="false">SUM(E7:E9)</f>
        <v>0</v>
      </c>
      <c r="F13" s="26" t="n">
        <v>0</v>
      </c>
      <c r="G13" s="26" t="n">
        <v>0</v>
      </c>
      <c r="H13" s="26"/>
      <c r="I13" s="26" t="n">
        <f aca="false">SUM(I7:I12)</f>
        <v>1470000</v>
      </c>
      <c r="J13" s="10"/>
      <c r="K13" s="9" t="n">
        <f aca="false">I13/12</f>
        <v>122500</v>
      </c>
    </row>
    <row r="14" customFormat="false" ht="12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0"/>
      <c r="K14" s="9" t="n">
        <f aca="false">K13*3</f>
        <v>367500</v>
      </c>
    </row>
    <row r="15" customFormat="false" ht="12.75" hidden="false" customHeight="true" outlineLevel="0" collapsed="false">
      <c r="A15" s="13" t="s">
        <v>65</v>
      </c>
      <c r="B15" s="13"/>
      <c r="C15" s="13"/>
      <c r="D15" s="13"/>
      <c r="E15" s="13"/>
      <c r="F15" s="13"/>
      <c r="G15" s="13"/>
      <c r="H15" s="13"/>
      <c r="I15" s="13"/>
      <c r="J15" s="10"/>
      <c r="L15" s="9" t="n">
        <f aca="false">I13/12</f>
        <v>122500</v>
      </c>
    </row>
    <row r="16" customFormat="false" ht="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0"/>
    </row>
    <row r="17" customFormat="false" ht="12.75" hidden="false" customHeight="true" outlineLevel="0" collapsed="false">
      <c r="A17" s="14" t="s">
        <v>48</v>
      </c>
      <c r="B17" s="15" t="s">
        <v>49</v>
      </c>
      <c r="C17" s="15" t="s">
        <v>50</v>
      </c>
      <c r="D17" s="15" t="s">
        <v>51</v>
      </c>
      <c r="E17" s="15" t="s">
        <v>52</v>
      </c>
      <c r="F17" s="15" t="s">
        <v>53</v>
      </c>
      <c r="G17" s="16" t="s">
        <v>54</v>
      </c>
      <c r="H17" s="16" t="s">
        <v>55</v>
      </c>
      <c r="I17" s="16" t="s">
        <v>56</v>
      </c>
      <c r="J17" s="10"/>
    </row>
    <row r="18" customFormat="false" ht="12.75" hidden="false" customHeight="true" outlineLevel="0" collapsed="false">
      <c r="A18" s="17" t="s">
        <v>66</v>
      </c>
      <c r="B18" s="18" t="s">
        <v>67</v>
      </c>
      <c r="C18" s="18" t="n">
        <v>0</v>
      </c>
      <c r="D18" s="18" t="n">
        <f aca="false">E18/4</f>
        <v>0</v>
      </c>
      <c r="E18" s="18" t="n">
        <v>0</v>
      </c>
      <c r="F18" s="18" t="n">
        <v>0</v>
      </c>
      <c r="G18" s="19" t="n">
        <v>1</v>
      </c>
      <c r="H18" s="20" t="n">
        <v>300000</v>
      </c>
      <c r="I18" s="21" t="n">
        <f aca="false">G18*H18</f>
        <v>300000</v>
      </c>
      <c r="J18" s="10"/>
    </row>
    <row r="19" customFormat="false" ht="12.75" hidden="false" customHeight="true" outlineLevel="0" collapsed="false">
      <c r="A19" s="17" t="s">
        <v>68</v>
      </c>
      <c r="B19" s="18" t="s">
        <v>69</v>
      </c>
      <c r="C19" s="18"/>
      <c r="D19" s="18"/>
      <c r="E19" s="18" t="n">
        <v>0</v>
      </c>
      <c r="F19" s="18" t="n">
        <f aca="false">E19*3</f>
        <v>0</v>
      </c>
      <c r="G19" s="19" t="n">
        <v>1</v>
      </c>
      <c r="H19" s="20" t="n">
        <v>100000</v>
      </c>
      <c r="I19" s="21" t="n">
        <f aca="false">G19*H19</f>
        <v>100000</v>
      </c>
      <c r="J19" s="10"/>
      <c r="L19" s="27"/>
    </row>
    <row r="20" customFormat="false" ht="12.75" hidden="false" customHeight="true" outlineLevel="0" collapsed="false">
      <c r="A20" s="17" t="s">
        <v>70</v>
      </c>
      <c r="B20" s="18" t="s">
        <v>67</v>
      </c>
      <c r="C20" s="18"/>
      <c r="D20" s="18"/>
      <c r="E20" s="18"/>
      <c r="F20" s="18"/>
      <c r="G20" s="19" t="n">
        <v>1</v>
      </c>
      <c r="H20" s="20" t="n">
        <v>50000</v>
      </c>
      <c r="I20" s="21" t="n">
        <f aca="false">G20*H20</f>
        <v>50000</v>
      </c>
      <c r="J20" s="10"/>
      <c r="L20" s="9" t="n">
        <f aca="false">L19/2</f>
        <v>0</v>
      </c>
    </row>
    <row r="21" customFormat="false" ht="12.75" hidden="false" customHeight="true" outlineLevel="0" collapsed="false">
      <c r="A21" s="17"/>
      <c r="B21" s="18"/>
      <c r="C21" s="18"/>
      <c r="D21" s="18"/>
      <c r="E21" s="18"/>
      <c r="F21" s="18"/>
      <c r="G21" s="19"/>
      <c r="H21" s="20"/>
      <c r="I21" s="21" t="n">
        <f aca="false">+H21*F21</f>
        <v>0</v>
      </c>
      <c r="J21" s="10"/>
    </row>
    <row r="22" customFormat="false" ht="12.75" hidden="false" customHeight="true" outlineLevel="0" collapsed="false">
      <c r="A22" s="22"/>
      <c r="B22" s="23"/>
      <c r="C22" s="18"/>
      <c r="D22" s="18"/>
      <c r="E22" s="18"/>
      <c r="F22" s="18"/>
      <c r="G22" s="19"/>
      <c r="H22" s="23"/>
      <c r="I22" s="21" t="n">
        <f aca="false">+H22*F22</f>
        <v>0</v>
      </c>
      <c r="J22" s="10"/>
    </row>
    <row r="23" customFormat="false" ht="12.75" hidden="false" customHeight="true" outlineLevel="0" collapsed="false">
      <c r="A23" s="24" t="s">
        <v>64</v>
      </c>
      <c r="B23" s="25"/>
      <c r="C23" s="26"/>
      <c r="D23" s="26" t="n">
        <f aca="false">SUM(D18:D20)</f>
        <v>0</v>
      </c>
      <c r="E23" s="26" t="n">
        <f aca="false">SUM(E18:E20)</f>
        <v>0</v>
      </c>
      <c r="F23" s="26" t="n">
        <f aca="false">SUM(F18:F20)</f>
        <v>0</v>
      </c>
      <c r="G23" s="26" t="n">
        <f aca="false">SUM(G18:G20)</f>
        <v>3</v>
      </c>
      <c r="H23" s="26"/>
      <c r="I23" s="26" t="n">
        <f aca="false">SUM(I18:I22)</f>
        <v>450000</v>
      </c>
      <c r="J23" s="10"/>
    </row>
    <row r="24" customFormat="false" ht="12.75" hidden="false" customHeight="true" outlineLevel="0" collapsed="false">
      <c r="A24" s="12"/>
      <c r="B24" s="12"/>
      <c r="C24" s="28"/>
      <c r="D24" s="28"/>
      <c r="E24" s="28"/>
      <c r="F24" s="28"/>
      <c r="G24" s="28"/>
      <c r="H24" s="28"/>
      <c r="I24" s="28"/>
      <c r="J24" s="10"/>
    </row>
    <row r="25" customFormat="false" ht="12.75" hidden="false" customHeight="true" outlineLevel="0" collapsed="false">
      <c r="A25" s="12"/>
      <c r="B25" s="12"/>
      <c r="C25" s="28"/>
      <c r="D25" s="28"/>
      <c r="E25" s="28"/>
      <c r="F25" s="28"/>
      <c r="G25" s="28"/>
      <c r="H25" s="28"/>
      <c r="I25" s="28"/>
      <c r="J25" s="10"/>
    </row>
    <row r="26" customFormat="false" ht="12.75" hidden="false" customHeight="true" outlineLevel="0" collapsed="false">
      <c r="A26" s="13" t="s">
        <v>71</v>
      </c>
      <c r="B26" s="13"/>
      <c r="C26" s="13"/>
      <c r="D26" s="13"/>
      <c r="E26" s="13"/>
      <c r="F26" s="12"/>
      <c r="G26" s="12"/>
      <c r="H26" s="12"/>
      <c r="I26" s="12"/>
      <c r="J26" s="10"/>
    </row>
    <row r="27" customFormat="false" ht="12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0"/>
    </row>
    <row r="28" customFormat="false" ht="12.75" hidden="false" customHeight="true" outlineLevel="0" collapsed="false">
      <c r="A28" s="13" t="s">
        <v>72</v>
      </c>
      <c r="B28" s="13"/>
      <c r="C28" s="13"/>
      <c r="D28" s="13"/>
      <c r="E28" s="13"/>
      <c r="F28" s="12"/>
      <c r="G28" s="12"/>
      <c r="H28" s="12"/>
      <c r="I28" s="12"/>
      <c r="J28" s="10"/>
    </row>
    <row r="29" customFormat="false" ht="12.75" hidden="false" customHeight="true" outlineLevel="0" collapsed="false">
      <c r="A29" s="29"/>
      <c r="B29" s="12"/>
      <c r="C29" s="30" t="n">
        <v>12</v>
      </c>
      <c r="D29" s="12"/>
      <c r="E29" s="12"/>
      <c r="F29" s="12"/>
      <c r="G29" s="12"/>
      <c r="H29" s="12"/>
      <c r="I29" s="12"/>
      <c r="J29" s="10"/>
    </row>
    <row r="30" customFormat="false" ht="13.5" hidden="false" customHeight="true" outlineLevel="0" collapsed="false">
      <c r="A30" s="31" t="s">
        <v>73</v>
      </c>
      <c r="B30" s="32" t="s">
        <v>74</v>
      </c>
      <c r="C30" s="32"/>
      <c r="D30" s="32" t="s">
        <v>75</v>
      </c>
      <c r="E30" s="32"/>
      <c r="F30" s="32" t="s">
        <v>76</v>
      </c>
      <c r="G30" s="32" t="s">
        <v>77</v>
      </c>
      <c r="H30" s="32" t="s">
        <v>56</v>
      </c>
      <c r="I30" s="12"/>
      <c r="J30" s="10"/>
    </row>
    <row r="31" customFormat="false" ht="12.75" hidden="false" customHeight="true" outlineLevel="0" collapsed="false">
      <c r="A31" s="31"/>
      <c r="B31" s="32" t="s">
        <v>78</v>
      </c>
      <c r="C31" s="32" t="s">
        <v>79</v>
      </c>
      <c r="D31" s="32" t="s">
        <v>78</v>
      </c>
      <c r="E31" s="32" t="s">
        <v>79</v>
      </c>
      <c r="F31" s="32"/>
      <c r="G31" s="32"/>
      <c r="H31" s="32" t="s">
        <v>80</v>
      </c>
      <c r="I31" s="12"/>
      <c r="J31" s="10"/>
    </row>
    <row r="32" customFormat="false" ht="12.75" hidden="false" customHeight="true" outlineLevel="0" collapsed="false">
      <c r="A32" s="33" t="s">
        <v>81</v>
      </c>
      <c r="B32" s="34" t="n">
        <v>1</v>
      </c>
      <c r="C32" s="34"/>
      <c r="D32" s="34" t="n">
        <v>0</v>
      </c>
      <c r="E32" s="34"/>
      <c r="F32" s="23" t="n">
        <v>50000</v>
      </c>
      <c r="G32" s="23" t="n">
        <v>12</v>
      </c>
      <c r="H32" s="34" t="n">
        <f aca="false">+G32*F32*SUM(B32:E32)</f>
        <v>600000</v>
      </c>
      <c r="I32" s="12"/>
      <c r="J32" s="10"/>
    </row>
    <row r="33" customFormat="false" ht="12.75" hidden="false" customHeight="true" outlineLevel="0" collapsed="false">
      <c r="A33" s="35" t="s">
        <v>82</v>
      </c>
      <c r="B33" s="34" t="n">
        <v>1</v>
      </c>
      <c r="C33" s="34"/>
      <c r="D33" s="34" t="n">
        <v>0</v>
      </c>
      <c r="E33" s="34"/>
      <c r="F33" s="23" t="n">
        <v>50000</v>
      </c>
      <c r="G33" s="23" t="n">
        <v>12</v>
      </c>
      <c r="H33" s="34" t="n">
        <f aca="false">+G33*F33*SUM(B33:E33)</f>
        <v>600000</v>
      </c>
      <c r="I33" s="12"/>
      <c r="J33" s="10"/>
    </row>
    <row r="34" customFormat="false" ht="12.75" hidden="false" customHeight="true" outlineLevel="0" collapsed="false">
      <c r="A34" s="35" t="s">
        <v>83</v>
      </c>
      <c r="B34" s="34" t="n">
        <v>0</v>
      </c>
      <c r="C34" s="34" t="n">
        <v>0</v>
      </c>
      <c r="D34" s="34" t="n">
        <v>3</v>
      </c>
      <c r="E34" s="34"/>
      <c r="F34" s="23" t="n">
        <v>50000</v>
      </c>
      <c r="G34" s="23" t="n">
        <v>6</v>
      </c>
      <c r="H34" s="34" t="n">
        <f aca="false">+G34*F34*SUM(B34:E34)</f>
        <v>900000</v>
      </c>
      <c r="I34" s="12"/>
      <c r="J34" s="10"/>
      <c r="M34" s="9" t="n">
        <f aca="false">H38/12</f>
        <v>175000</v>
      </c>
    </row>
    <row r="35" customFormat="false" ht="12.75" hidden="false" customHeight="true" outlineLevel="0" collapsed="false">
      <c r="A35" s="35" t="n">
        <v>0</v>
      </c>
      <c r="B35" s="34" t="n">
        <v>0</v>
      </c>
      <c r="C35" s="34" t="n">
        <v>0</v>
      </c>
      <c r="D35" s="34" t="n">
        <v>0</v>
      </c>
      <c r="E35" s="34"/>
      <c r="F35" s="23" t="n">
        <v>0</v>
      </c>
      <c r="G35" s="23" t="n">
        <v>0</v>
      </c>
      <c r="H35" s="34" t="n">
        <f aca="false">+G35*F35*SUM(B35:E35)</f>
        <v>0</v>
      </c>
      <c r="I35" s="12"/>
      <c r="J35" s="10"/>
    </row>
    <row r="36" customFormat="false" ht="12.75" hidden="false" customHeight="true" outlineLevel="0" collapsed="false">
      <c r="A36" s="35" t="n">
        <v>0</v>
      </c>
      <c r="B36" s="34" t="n">
        <v>0</v>
      </c>
      <c r="C36" s="34" t="n">
        <v>0</v>
      </c>
      <c r="D36" s="34" t="n">
        <v>0</v>
      </c>
      <c r="E36" s="34"/>
      <c r="F36" s="23" t="n">
        <v>0</v>
      </c>
      <c r="G36" s="23" t="n">
        <v>0</v>
      </c>
      <c r="H36" s="34" t="n">
        <f aca="false">+G36*F36*SUM(B36:E36)</f>
        <v>0</v>
      </c>
      <c r="I36" s="12"/>
      <c r="J36" s="10"/>
    </row>
    <row r="37" customFormat="false" ht="12.75" hidden="false" customHeight="true" outlineLevel="0" collapsed="false">
      <c r="A37" s="35"/>
      <c r="B37" s="34"/>
      <c r="C37" s="34"/>
      <c r="D37" s="34"/>
      <c r="E37" s="34"/>
      <c r="F37" s="23"/>
      <c r="G37" s="23"/>
      <c r="H37" s="34" t="n">
        <f aca="false">+G37*F37*SUM(B37:E37)</f>
        <v>0</v>
      </c>
      <c r="I37" s="12"/>
      <c r="J37" s="10"/>
    </row>
    <row r="38" customFormat="false" ht="12.75" hidden="false" customHeight="true" outlineLevel="0" collapsed="false">
      <c r="A38" s="36" t="s">
        <v>84</v>
      </c>
      <c r="B38" s="37" t="n">
        <f aca="false">SUM(B32:B37)</f>
        <v>2</v>
      </c>
      <c r="C38" s="37" t="n">
        <f aca="false">SUM(C32:C37)</f>
        <v>0</v>
      </c>
      <c r="D38" s="37" t="n">
        <f aca="false">SUM(D32:D37)</f>
        <v>3</v>
      </c>
      <c r="E38" s="37" t="n">
        <f aca="false">SUM(E32:E37)</f>
        <v>0</v>
      </c>
      <c r="F38" s="37"/>
      <c r="G38" s="37"/>
      <c r="H38" s="38" t="n">
        <f aca="false">SUM(H32:H37)</f>
        <v>2100000</v>
      </c>
      <c r="I38" s="12"/>
      <c r="J38" s="10"/>
    </row>
    <row r="39" customFormat="false" ht="12.75" hidden="false" customHeight="true" outlineLevel="0" collapsed="false">
      <c r="A39" s="29"/>
      <c r="B39" s="12"/>
      <c r="C39" s="12"/>
      <c r="D39" s="12"/>
      <c r="E39" s="12"/>
      <c r="F39" s="12"/>
      <c r="G39" s="12"/>
      <c r="H39" s="12"/>
      <c r="I39" s="12"/>
      <c r="J39" s="10"/>
    </row>
    <row r="40" customFormat="false" ht="12.75" hidden="false" customHeight="true" outlineLevel="0" collapsed="false">
      <c r="A40" s="29" t="s">
        <v>85</v>
      </c>
      <c r="B40" s="12"/>
      <c r="C40" s="12"/>
      <c r="D40" s="12"/>
      <c r="E40" s="12"/>
      <c r="F40" s="12"/>
      <c r="G40" s="12"/>
      <c r="H40" s="12"/>
      <c r="I40" s="12"/>
      <c r="J40" s="10"/>
    </row>
    <row r="41" customFormat="false" ht="4.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0"/>
    </row>
    <row r="42" customFormat="false" ht="13.5" hidden="false" customHeight="true" outlineLevel="0" collapsed="false">
      <c r="A42" s="39" t="s">
        <v>86</v>
      </c>
      <c r="B42" s="40" t="s">
        <v>87</v>
      </c>
      <c r="C42" s="40" t="s">
        <v>88</v>
      </c>
      <c r="D42" s="41" t="s">
        <v>89</v>
      </c>
      <c r="E42" s="12"/>
      <c r="F42" s="12"/>
      <c r="G42" s="12"/>
      <c r="H42" s="12"/>
      <c r="I42" s="12"/>
      <c r="J42" s="10"/>
    </row>
    <row r="43" customFormat="false" ht="15.75" hidden="false" customHeight="true" outlineLevel="0" collapsed="false">
      <c r="A43" s="42" t="n">
        <v>0</v>
      </c>
      <c r="B43" s="23" t="n">
        <v>0</v>
      </c>
      <c r="C43" s="23" t="n">
        <v>0</v>
      </c>
      <c r="D43" s="43" t="n">
        <v>0</v>
      </c>
      <c r="E43" s="12"/>
      <c r="F43" s="12"/>
      <c r="G43" s="12"/>
      <c r="H43" s="12"/>
      <c r="I43" s="12"/>
      <c r="J43" s="10"/>
    </row>
    <row r="44" customFormat="false" ht="12.75" hidden="false" customHeight="true" outlineLevel="0" collapsed="false">
      <c r="A44" s="44" t="n">
        <v>0</v>
      </c>
      <c r="B44" s="23" t="n">
        <v>0</v>
      </c>
      <c r="C44" s="23" t="n">
        <v>0</v>
      </c>
      <c r="D44" s="43" t="n">
        <v>0</v>
      </c>
      <c r="E44" s="12"/>
      <c r="F44" s="12"/>
      <c r="G44" s="12"/>
      <c r="H44" s="12"/>
      <c r="I44" s="12"/>
      <c r="J44" s="10"/>
    </row>
    <row r="45" customFormat="false" ht="15" hidden="false" customHeight="true" outlineLevel="0" collapsed="false">
      <c r="A45" s="45" t="n">
        <v>0</v>
      </c>
      <c r="B45" s="23" t="n">
        <v>0</v>
      </c>
      <c r="C45" s="23" t="n">
        <v>0</v>
      </c>
      <c r="D45" s="43" t="n">
        <v>0</v>
      </c>
      <c r="E45" s="12"/>
      <c r="F45" s="12"/>
      <c r="G45" s="12"/>
      <c r="H45" s="12"/>
      <c r="I45" s="12"/>
      <c r="J45" s="10"/>
    </row>
    <row r="46" customFormat="false" ht="12.75" hidden="false" customHeight="true" outlineLevel="0" collapsed="false">
      <c r="A46" s="44"/>
      <c r="B46" s="23"/>
      <c r="C46" s="23"/>
      <c r="D46" s="43" t="n">
        <f aca="false">+B46*C46</f>
        <v>0</v>
      </c>
      <c r="E46" s="12"/>
      <c r="F46" s="12"/>
      <c r="G46" s="12"/>
      <c r="H46" s="12"/>
      <c r="I46" s="12"/>
      <c r="J46" s="10"/>
    </row>
    <row r="47" customFormat="false" ht="12.75" hidden="false" customHeight="true" outlineLevel="0" collapsed="false">
      <c r="A47" s="44"/>
      <c r="B47" s="23"/>
      <c r="C47" s="23"/>
      <c r="D47" s="43" t="n">
        <f aca="false">+B47*C47</f>
        <v>0</v>
      </c>
      <c r="E47" s="12"/>
      <c r="F47" s="12"/>
      <c r="G47" s="12"/>
      <c r="H47" s="12"/>
      <c r="I47" s="12"/>
      <c r="J47" s="10"/>
    </row>
    <row r="48" customFormat="false" ht="12.75" hidden="false" customHeight="true" outlineLevel="0" collapsed="false">
      <c r="A48" s="44"/>
      <c r="B48" s="23"/>
      <c r="C48" s="23"/>
      <c r="D48" s="43" t="n">
        <f aca="false">+B48*C48</f>
        <v>0</v>
      </c>
      <c r="E48" s="12"/>
      <c r="F48" s="12"/>
      <c r="G48" s="12"/>
      <c r="H48" s="12"/>
      <c r="I48" s="12"/>
      <c r="J48" s="10"/>
    </row>
    <row r="49" customFormat="false" ht="13.5" hidden="false" customHeight="true" outlineLevel="0" collapsed="false">
      <c r="A49" s="46" t="s">
        <v>90</v>
      </c>
      <c r="B49" s="46"/>
      <c r="C49" s="46"/>
      <c r="D49" s="47" t="n">
        <f aca="false">D44+D43+D45</f>
        <v>0</v>
      </c>
      <c r="E49" s="12"/>
      <c r="F49" s="12"/>
      <c r="G49" s="12"/>
      <c r="H49" s="12"/>
      <c r="I49" s="12"/>
      <c r="J49" s="10"/>
    </row>
    <row r="50" customFormat="false" ht="12.75" hidden="false" customHeight="true" outlineLevel="0" collapsed="false">
      <c r="A50" s="29"/>
      <c r="B50" s="12"/>
      <c r="C50" s="12"/>
      <c r="D50" s="12"/>
      <c r="E50" s="12"/>
      <c r="F50" s="12"/>
      <c r="G50" s="12"/>
      <c r="H50" s="12"/>
      <c r="I50" s="12"/>
      <c r="J50" s="10"/>
    </row>
    <row r="51" customFormat="false" ht="12.75" hidden="false" customHeight="true" outlineLevel="0" collapsed="false">
      <c r="A51" s="29" t="s">
        <v>91</v>
      </c>
      <c r="B51" s="12"/>
      <c r="C51" s="12"/>
      <c r="D51" s="12"/>
      <c r="E51" s="12"/>
      <c r="F51" s="12"/>
      <c r="G51" s="12"/>
      <c r="H51" s="12"/>
      <c r="I51" s="12"/>
      <c r="J51" s="10"/>
    </row>
    <row r="52" customFormat="false" ht="3.75" hidden="false" customHeight="true" outlineLevel="0" collapsed="false">
      <c r="A52" s="48"/>
      <c r="B52" s="48"/>
      <c r="C52" s="48"/>
      <c r="D52" s="48"/>
      <c r="E52" s="12"/>
      <c r="F52" s="12"/>
      <c r="G52" s="12"/>
      <c r="H52" s="12"/>
      <c r="I52" s="12"/>
      <c r="J52" s="10"/>
    </row>
    <row r="53" customFormat="false" ht="13.5" hidden="false" customHeight="true" outlineLevel="0" collapsed="false">
      <c r="A53" s="39" t="s">
        <v>86</v>
      </c>
      <c r="B53" s="40" t="s">
        <v>87</v>
      </c>
      <c r="C53" s="40" t="s">
        <v>88</v>
      </c>
      <c r="D53" s="41" t="s">
        <v>89</v>
      </c>
      <c r="E53" s="12"/>
      <c r="F53" s="12"/>
      <c r="G53" s="12"/>
      <c r="H53" s="12"/>
      <c r="I53" s="12"/>
      <c r="J53" s="10"/>
    </row>
    <row r="54" customFormat="false" ht="15.75" hidden="false" customHeight="true" outlineLevel="0" collapsed="false">
      <c r="A54" s="49" t="s">
        <v>92</v>
      </c>
      <c r="B54" s="49" t="n">
        <v>1</v>
      </c>
      <c r="C54" s="50" t="n">
        <v>45000</v>
      </c>
      <c r="D54" s="50" t="n">
        <f aca="false">+B54*C54</f>
        <v>45000</v>
      </c>
      <c r="E54" s="12"/>
      <c r="F54" s="12"/>
      <c r="G54" s="12"/>
      <c r="H54" s="12"/>
      <c r="I54" s="12"/>
      <c r="J54" s="10"/>
    </row>
    <row r="55" customFormat="false" ht="15.75" hidden="false" customHeight="true" outlineLevel="0" collapsed="false">
      <c r="A55" s="49" t="s">
        <v>93</v>
      </c>
      <c r="B55" s="49" t="n">
        <v>1</v>
      </c>
      <c r="C55" s="50" t="n">
        <v>60000</v>
      </c>
      <c r="D55" s="50" t="n">
        <f aca="false">+B55*C55</f>
        <v>60000</v>
      </c>
      <c r="E55" s="12"/>
      <c r="F55" s="12"/>
      <c r="G55" s="12"/>
      <c r="H55" s="12"/>
      <c r="I55" s="12"/>
      <c r="J55" s="10"/>
    </row>
    <row r="56" customFormat="false" ht="15.75" hidden="false" customHeight="true" outlineLevel="0" collapsed="false">
      <c r="A56" s="49" t="s">
        <v>94</v>
      </c>
      <c r="B56" s="51" t="n">
        <v>1</v>
      </c>
      <c r="C56" s="51" t="n">
        <v>750000</v>
      </c>
      <c r="D56" s="51" t="n">
        <f aca="false">+B56*C56</f>
        <v>750000</v>
      </c>
      <c r="E56" s="12"/>
      <c r="F56" s="12"/>
      <c r="G56" s="12"/>
      <c r="H56" s="12"/>
      <c r="I56" s="12"/>
      <c r="J56" s="10"/>
    </row>
    <row r="57" customFormat="false" ht="15.75" hidden="false" customHeight="true" outlineLevel="0" collapsed="false">
      <c r="A57" s="49" t="s">
        <v>95</v>
      </c>
      <c r="B57" s="51" t="n">
        <v>1</v>
      </c>
      <c r="C57" s="51" t="n">
        <v>1000000</v>
      </c>
      <c r="D57" s="51" t="n">
        <f aca="false">+B57*C57</f>
        <v>1000000</v>
      </c>
      <c r="E57" s="12"/>
      <c r="F57" s="12"/>
      <c r="G57" s="12"/>
      <c r="H57" s="12"/>
      <c r="I57" s="12"/>
      <c r="J57" s="10"/>
    </row>
    <row r="58" customFormat="false" ht="15.75" hidden="false" customHeight="true" outlineLevel="0" collapsed="false">
      <c r="A58" s="49" t="s">
        <v>96</v>
      </c>
      <c r="B58" s="51" t="n">
        <v>1</v>
      </c>
      <c r="C58" s="23" t="n">
        <v>250000</v>
      </c>
      <c r="D58" s="43" t="n">
        <f aca="false">+B58*C58</f>
        <v>250000</v>
      </c>
      <c r="E58" s="12"/>
      <c r="F58" s="12"/>
      <c r="G58" s="12"/>
      <c r="H58" s="12"/>
      <c r="I58" s="12"/>
      <c r="J58" s="10"/>
    </row>
    <row r="59" customFormat="false" ht="15.75" hidden="false" customHeight="true" outlineLevel="0" collapsed="false">
      <c r="A59" s="52" t="s">
        <v>97</v>
      </c>
      <c r="B59" s="23" t="n">
        <v>1</v>
      </c>
      <c r="C59" s="23" t="n">
        <v>980000</v>
      </c>
      <c r="D59" s="43" t="n">
        <f aca="false">+B59*C59</f>
        <v>980000</v>
      </c>
      <c r="E59" s="12"/>
      <c r="F59" s="12"/>
      <c r="G59" s="12"/>
      <c r="H59" s="12"/>
      <c r="I59" s="12"/>
      <c r="J59" s="10"/>
    </row>
    <row r="60" customFormat="false" ht="15.75" hidden="false" customHeight="true" outlineLevel="0" collapsed="false">
      <c r="A60" s="53"/>
      <c r="B60" s="23" t="n">
        <v>0</v>
      </c>
      <c r="C60" s="23" t="n">
        <v>0</v>
      </c>
      <c r="D60" s="43" t="n">
        <f aca="false">+B60*C60</f>
        <v>0</v>
      </c>
      <c r="E60" s="12"/>
      <c r="F60" s="12"/>
      <c r="G60" s="12"/>
      <c r="H60" s="12"/>
      <c r="I60" s="12"/>
      <c r="J60" s="10"/>
    </row>
    <row r="61" customFormat="false" ht="15.75" hidden="false" customHeight="true" outlineLevel="0" collapsed="false">
      <c r="A61" s="54"/>
      <c r="B61" s="23" t="n">
        <v>0</v>
      </c>
      <c r="C61" s="23" t="n">
        <v>0</v>
      </c>
      <c r="D61" s="43" t="n">
        <f aca="false">+B61*C61</f>
        <v>0</v>
      </c>
      <c r="E61" s="12"/>
      <c r="F61" s="12"/>
      <c r="G61" s="12"/>
      <c r="H61" s="12"/>
      <c r="I61" s="12"/>
      <c r="J61" s="10"/>
    </row>
    <row r="62" customFormat="false" ht="12.75" hidden="false" customHeight="true" outlineLevel="0" collapsed="false">
      <c r="A62" s="44"/>
      <c r="B62" s="23" t="n">
        <v>0</v>
      </c>
      <c r="C62" s="23" t="n">
        <v>0</v>
      </c>
      <c r="D62" s="43" t="n">
        <f aca="false">+B62*C62</f>
        <v>0</v>
      </c>
      <c r="E62" s="12"/>
      <c r="F62" s="12"/>
      <c r="G62" s="12"/>
      <c r="H62" s="12"/>
      <c r="I62" s="12"/>
      <c r="J62" s="10"/>
    </row>
    <row r="63" customFormat="false" ht="13.5" hidden="false" customHeight="true" outlineLevel="0" collapsed="false">
      <c r="A63" s="46"/>
      <c r="B63" s="46"/>
      <c r="C63" s="46"/>
      <c r="D63" s="47" t="n">
        <f aca="false">+SUM(D54:D62)</f>
        <v>3085000</v>
      </c>
      <c r="E63" s="12"/>
      <c r="F63" s="12"/>
      <c r="G63" s="12"/>
      <c r="H63" s="12"/>
      <c r="I63" s="12"/>
      <c r="J63" s="10"/>
    </row>
    <row r="64" customFormat="false" ht="12.75" hidden="false" customHeight="true" outlineLevel="0" collapsed="false">
      <c r="A64" s="29"/>
      <c r="B64" s="12"/>
      <c r="C64" s="12"/>
      <c r="D64" s="12"/>
      <c r="E64" s="12"/>
      <c r="F64" s="12"/>
      <c r="G64" s="12"/>
      <c r="H64" s="12"/>
      <c r="I64" s="12"/>
      <c r="J64" s="10"/>
    </row>
    <row r="65" customFormat="false" ht="12.75" hidden="false" customHeight="true" outlineLevel="0" collapsed="false">
      <c r="A65" s="29" t="s">
        <v>98</v>
      </c>
      <c r="B65" s="12"/>
      <c r="C65" s="12"/>
      <c r="D65" s="12"/>
      <c r="E65" s="12"/>
      <c r="F65" s="12"/>
      <c r="G65" s="12"/>
      <c r="H65" s="12"/>
      <c r="I65" s="12"/>
      <c r="J65" s="10"/>
    </row>
    <row r="66" customFormat="false" ht="13.5" hidden="false" customHeight="true" outlineLevel="0" collapsed="false">
      <c r="A66" s="29"/>
      <c r="B66" s="12"/>
      <c r="C66" s="12"/>
      <c r="D66" s="12"/>
      <c r="E66" s="12"/>
      <c r="F66" s="12"/>
      <c r="G66" s="12"/>
      <c r="H66" s="12"/>
      <c r="I66" s="12"/>
      <c r="J66" s="10"/>
    </row>
    <row r="67" customFormat="false" ht="13.5" hidden="false" customHeight="true" outlineLevel="0" collapsed="false">
      <c r="A67" s="39" t="s">
        <v>86</v>
      </c>
      <c r="B67" s="40" t="s">
        <v>87</v>
      </c>
      <c r="C67" s="40" t="s">
        <v>88</v>
      </c>
      <c r="D67" s="41" t="s">
        <v>89</v>
      </c>
      <c r="E67" s="12"/>
      <c r="F67" s="12"/>
      <c r="G67" s="12"/>
      <c r="H67" s="12"/>
      <c r="I67" s="12"/>
      <c r="J67" s="10"/>
    </row>
    <row r="68" customFormat="false" ht="12.75" hidden="false" customHeight="true" outlineLevel="0" collapsed="false">
      <c r="A68" s="44" t="s">
        <v>99</v>
      </c>
      <c r="B68" s="23" t="n">
        <v>1</v>
      </c>
      <c r="C68" s="23" t="n">
        <v>20000</v>
      </c>
      <c r="D68" s="43" t="n">
        <f aca="false">+B68*C68</f>
        <v>20000</v>
      </c>
      <c r="E68" s="12"/>
      <c r="F68" s="12"/>
      <c r="G68" s="12"/>
      <c r="H68" s="12"/>
      <c r="I68" s="12"/>
      <c r="J68" s="10"/>
    </row>
    <row r="69" customFormat="false" ht="12.75" hidden="false" customHeight="true" outlineLevel="0" collapsed="false">
      <c r="A69" s="44"/>
      <c r="B69" s="23"/>
      <c r="C69" s="23"/>
      <c r="D69" s="43" t="n">
        <f aca="false">+B69*C69</f>
        <v>0</v>
      </c>
      <c r="E69" s="12"/>
      <c r="F69" s="12"/>
      <c r="G69" s="12"/>
      <c r="H69" s="12"/>
      <c r="I69" s="12"/>
      <c r="J69" s="10"/>
    </row>
    <row r="70" customFormat="false" ht="12.75" hidden="false" customHeight="true" outlineLevel="0" collapsed="false">
      <c r="A70" s="44"/>
      <c r="B70" s="23"/>
      <c r="C70" s="23"/>
      <c r="D70" s="43" t="n">
        <f aca="false">+B70*C70</f>
        <v>0</v>
      </c>
      <c r="E70" s="12"/>
      <c r="F70" s="12"/>
      <c r="G70" s="12"/>
      <c r="H70" s="12"/>
      <c r="I70" s="12"/>
      <c r="J70" s="10"/>
    </row>
    <row r="71" customFormat="false" ht="12.75" hidden="false" customHeight="true" outlineLevel="0" collapsed="false">
      <c r="A71" s="44"/>
      <c r="B71" s="23"/>
      <c r="C71" s="23"/>
      <c r="D71" s="43" t="n">
        <f aca="false">+B71*C71</f>
        <v>0</v>
      </c>
      <c r="E71" s="12"/>
      <c r="F71" s="12"/>
      <c r="G71" s="12"/>
      <c r="H71" s="12"/>
      <c r="I71" s="12"/>
      <c r="J71" s="10"/>
    </row>
    <row r="72" customFormat="false" ht="12.75" hidden="false" customHeight="true" outlineLevel="0" collapsed="false">
      <c r="A72" s="44"/>
      <c r="B72" s="23"/>
      <c r="C72" s="23"/>
      <c r="D72" s="43" t="n">
        <f aca="false">+B72*C72</f>
        <v>0</v>
      </c>
      <c r="E72" s="12"/>
      <c r="F72" s="12"/>
      <c r="G72" s="12"/>
      <c r="H72" s="12"/>
      <c r="I72" s="12"/>
      <c r="J72" s="10"/>
    </row>
    <row r="73" customFormat="false" ht="13.5" hidden="false" customHeight="true" outlineLevel="0" collapsed="false">
      <c r="A73" s="46" t="s">
        <v>90</v>
      </c>
      <c r="B73" s="46"/>
      <c r="C73" s="46"/>
      <c r="D73" s="47" t="n">
        <f aca="false">+SUM(D68:D72)</f>
        <v>20000</v>
      </c>
      <c r="E73" s="12"/>
      <c r="F73" s="12"/>
      <c r="G73" s="12"/>
      <c r="H73" s="12"/>
      <c r="I73" s="12"/>
      <c r="J73" s="10"/>
    </row>
    <row r="74" customFormat="false" ht="12.75" hidden="false" customHeight="true" outlineLevel="0" collapsed="false">
      <c r="A74" s="29"/>
      <c r="B74" s="12"/>
      <c r="C74" s="12"/>
      <c r="D74" s="12"/>
      <c r="E74" s="12"/>
      <c r="F74" s="12"/>
      <c r="G74" s="12"/>
      <c r="H74" s="12"/>
      <c r="I74" s="12"/>
      <c r="J74" s="10"/>
    </row>
    <row r="75" customFormat="false" ht="12.75" hidden="false" customHeight="true" outlineLevel="0" collapsed="false">
      <c r="A75" s="29" t="s">
        <v>100</v>
      </c>
      <c r="B75" s="12"/>
      <c r="C75" s="12"/>
      <c r="D75" s="12"/>
      <c r="E75" s="12"/>
      <c r="F75" s="12"/>
      <c r="G75" s="12"/>
      <c r="H75" s="12"/>
      <c r="I75" s="12"/>
      <c r="J75" s="10"/>
    </row>
    <row r="76" customFormat="false" ht="13.5" hidden="false" customHeight="true" outlineLevel="0" collapsed="false">
      <c r="A76" s="29"/>
      <c r="B76" s="12"/>
      <c r="C76" s="12"/>
      <c r="D76" s="12"/>
      <c r="E76" s="12"/>
      <c r="F76" s="12"/>
      <c r="G76" s="12"/>
      <c r="H76" s="12"/>
      <c r="I76" s="12"/>
      <c r="J76" s="10"/>
    </row>
    <row r="77" customFormat="false" ht="13.5" hidden="false" customHeight="true" outlineLevel="0" collapsed="false">
      <c r="A77" s="39" t="s">
        <v>86</v>
      </c>
      <c r="B77" s="40" t="s">
        <v>87</v>
      </c>
      <c r="C77" s="40" t="s">
        <v>88</v>
      </c>
      <c r="D77" s="41" t="s">
        <v>89</v>
      </c>
      <c r="E77" s="12"/>
      <c r="F77" s="12"/>
      <c r="G77" s="12"/>
      <c r="H77" s="12"/>
      <c r="I77" s="12"/>
      <c r="J77" s="10"/>
    </row>
    <row r="78" customFormat="false" ht="15.75" hidden="false" customHeight="true" outlineLevel="0" collapsed="false">
      <c r="A78" s="49" t="s">
        <v>101</v>
      </c>
      <c r="B78" s="23" t="n">
        <v>1</v>
      </c>
      <c r="C78" s="23" t="n">
        <v>400000</v>
      </c>
      <c r="D78" s="43" t="n">
        <f aca="false">+B78*C78</f>
        <v>400000</v>
      </c>
      <c r="E78" s="12"/>
      <c r="F78" s="12"/>
      <c r="G78" s="12"/>
      <c r="H78" s="12"/>
      <c r="I78" s="12"/>
      <c r="J78" s="10"/>
    </row>
    <row r="79" customFormat="false" ht="15.75" hidden="false" customHeight="true" outlineLevel="0" collapsed="false">
      <c r="A79" s="49" t="s">
        <v>102</v>
      </c>
      <c r="B79" s="23" t="n">
        <v>3</v>
      </c>
      <c r="C79" s="23" t="n">
        <v>25000</v>
      </c>
      <c r="D79" s="43" t="n">
        <f aca="false">+B79*C79</f>
        <v>75000</v>
      </c>
      <c r="E79" s="12"/>
      <c r="F79" s="12"/>
      <c r="G79" s="12"/>
      <c r="H79" s="12"/>
      <c r="I79" s="12"/>
      <c r="J79" s="10"/>
    </row>
    <row r="80" customFormat="false" ht="15.75" hidden="false" customHeight="true" outlineLevel="0" collapsed="false">
      <c r="A80" s="52" t="s">
        <v>103</v>
      </c>
      <c r="B80" s="23" t="n">
        <v>3</v>
      </c>
      <c r="C80" s="23" t="n">
        <v>20000</v>
      </c>
      <c r="D80" s="43" t="n">
        <f aca="false">+B80*C80</f>
        <v>60000</v>
      </c>
      <c r="E80" s="12"/>
      <c r="F80" s="12"/>
      <c r="G80" s="12"/>
      <c r="H80" s="12"/>
      <c r="I80" s="12"/>
      <c r="J80" s="10"/>
    </row>
    <row r="81" customFormat="false" ht="12.75" hidden="false" customHeight="true" outlineLevel="0" collapsed="false">
      <c r="A81" s="44" t="s">
        <v>104</v>
      </c>
      <c r="B81" s="23" t="n">
        <v>2</v>
      </c>
      <c r="C81" s="23" t="n">
        <v>150000</v>
      </c>
      <c r="D81" s="43" t="n">
        <f aca="false">+B81*C81</f>
        <v>300000</v>
      </c>
      <c r="E81" s="12"/>
      <c r="F81" s="12"/>
      <c r="G81" s="12"/>
      <c r="H81" s="12"/>
      <c r="I81" s="12"/>
      <c r="J81" s="10"/>
    </row>
    <row r="82" customFormat="false" ht="12.75" hidden="false" customHeight="true" outlineLevel="0" collapsed="false">
      <c r="A82" s="9" t="s">
        <v>105</v>
      </c>
      <c r="B82" s="23" t="n">
        <v>1</v>
      </c>
      <c r="C82" s="23" t="n">
        <v>45000</v>
      </c>
      <c r="D82" s="43" t="n">
        <f aca="false">+B82*C82</f>
        <v>45000</v>
      </c>
      <c r="E82" s="12"/>
      <c r="F82" s="12"/>
      <c r="G82" s="12"/>
      <c r="H82" s="12"/>
      <c r="I82" s="12"/>
      <c r="J82" s="10"/>
    </row>
    <row r="83" customFormat="false" ht="12.75" hidden="false" customHeight="true" outlineLevel="0" collapsed="false">
      <c r="A83" s="44" t="n">
        <v>0</v>
      </c>
      <c r="B83" s="23" t="n">
        <v>0</v>
      </c>
      <c r="C83" s="23" t="n">
        <v>0</v>
      </c>
      <c r="D83" s="43" t="n">
        <f aca="false">+B83*C83</f>
        <v>0</v>
      </c>
      <c r="E83" s="12"/>
      <c r="F83" s="12"/>
      <c r="G83" s="12"/>
      <c r="H83" s="12"/>
      <c r="I83" s="12"/>
      <c r="J83" s="10"/>
    </row>
    <row r="84" customFormat="false" ht="12.75" hidden="false" customHeight="true" outlineLevel="0" collapsed="false">
      <c r="A84" s="44" t="n">
        <v>0</v>
      </c>
      <c r="B84" s="23" t="n">
        <v>0</v>
      </c>
      <c r="C84" s="23" t="n">
        <v>0</v>
      </c>
      <c r="D84" s="43" t="n">
        <f aca="false">+B84*C84</f>
        <v>0</v>
      </c>
      <c r="E84" s="12"/>
      <c r="F84" s="12"/>
      <c r="G84" s="12"/>
      <c r="H84" s="12"/>
      <c r="I84" s="12"/>
      <c r="J84" s="10"/>
    </row>
    <row r="85" customFormat="false" ht="13.5" hidden="false" customHeight="true" outlineLevel="0" collapsed="false">
      <c r="A85" s="46" t="s">
        <v>90</v>
      </c>
      <c r="B85" s="46"/>
      <c r="C85" s="46"/>
      <c r="D85" s="47" t="n">
        <f aca="false">+SUM(D78:D84)</f>
        <v>880000</v>
      </c>
      <c r="E85" s="12"/>
      <c r="F85" s="12"/>
      <c r="G85" s="12"/>
      <c r="H85" s="12"/>
      <c r="I85" s="12"/>
      <c r="J85" s="10"/>
    </row>
    <row r="86" customFormat="false" ht="12.75" hidden="false" customHeight="true" outlineLevel="0" collapsed="false">
      <c r="A86" s="29"/>
      <c r="B86" s="12"/>
      <c r="C86" s="12"/>
      <c r="D86" s="12"/>
      <c r="E86" s="12"/>
      <c r="F86" s="12"/>
      <c r="G86" s="12"/>
      <c r="H86" s="12"/>
      <c r="I86" s="12"/>
      <c r="J86" s="10"/>
    </row>
    <row r="87" customFormat="false" ht="12.75" hidden="false" customHeight="true" outlineLevel="0" collapsed="false">
      <c r="A87" s="29"/>
      <c r="B87" s="12"/>
      <c r="C87" s="12"/>
      <c r="D87" s="12"/>
      <c r="E87" s="12"/>
      <c r="F87" s="12"/>
      <c r="G87" s="12"/>
      <c r="H87" s="12"/>
      <c r="I87" s="12"/>
      <c r="J87" s="10"/>
    </row>
    <row r="88" customFormat="false" ht="12.75" hidden="false" customHeight="true" outlineLevel="0" collapsed="false">
      <c r="A88" s="29" t="s">
        <v>106</v>
      </c>
      <c r="B88" s="12"/>
      <c r="C88" s="12"/>
      <c r="D88" s="12"/>
      <c r="E88" s="12"/>
      <c r="F88" s="12"/>
      <c r="G88" s="12"/>
      <c r="H88" s="12"/>
      <c r="I88" s="12"/>
      <c r="J88" s="10"/>
    </row>
    <row r="89" customFormat="false" ht="13.5" hidden="false" customHeight="true" outlineLevel="0" collapsed="false">
      <c r="A89" s="29"/>
      <c r="B89" s="12"/>
      <c r="C89" s="12"/>
      <c r="D89" s="12"/>
      <c r="E89" s="12"/>
      <c r="F89" s="12"/>
      <c r="G89" s="12"/>
      <c r="H89" s="12"/>
      <c r="I89" s="12"/>
      <c r="J89" s="10"/>
    </row>
    <row r="90" customFormat="false" ht="26.25" hidden="false" customHeight="true" outlineLevel="0" collapsed="false">
      <c r="A90" s="39" t="s">
        <v>86</v>
      </c>
      <c r="B90" s="55" t="s">
        <v>49</v>
      </c>
      <c r="C90" s="55" t="s">
        <v>107</v>
      </c>
      <c r="D90" s="55" t="s">
        <v>108</v>
      </c>
      <c r="E90" s="56" t="s">
        <v>88</v>
      </c>
      <c r="F90" s="57" t="s">
        <v>109</v>
      </c>
      <c r="G90" s="12"/>
      <c r="H90" s="12"/>
      <c r="I90" s="12"/>
      <c r="J90" s="10"/>
    </row>
    <row r="91" customFormat="false" ht="12.75" hidden="false" customHeight="true" outlineLevel="0" collapsed="false">
      <c r="A91" s="58" t="s">
        <v>110</v>
      </c>
      <c r="B91" s="23" t="s">
        <v>49</v>
      </c>
      <c r="C91" s="23" t="n">
        <v>1</v>
      </c>
      <c r="D91" s="59" t="n">
        <v>12</v>
      </c>
      <c r="E91" s="23" t="n">
        <v>37500</v>
      </c>
      <c r="F91" s="23" t="n">
        <f aca="false">+E91*D91</f>
        <v>450000</v>
      </c>
      <c r="G91" s="12"/>
      <c r="H91" s="12"/>
      <c r="I91" s="12"/>
      <c r="J91" s="10"/>
    </row>
    <row r="92" customFormat="false" ht="12.75" hidden="false" customHeight="true" outlineLevel="0" collapsed="false">
      <c r="A92" s="58" t="n">
        <v>0</v>
      </c>
      <c r="B92" s="23" t="n">
        <v>0</v>
      </c>
      <c r="C92" s="23" t="n">
        <v>0</v>
      </c>
      <c r="D92" s="59" t="n">
        <v>0</v>
      </c>
      <c r="E92" s="23" t="n">
        <v>0</v>
      </c>
      <c r="F92" s="23" t="n">
        <v>0</v>
      </c>
      <c r="G92" s="12"/>
      <c r="H92" s="12"/>
      <c r="I92" s="12"/>
      <c r="J92" s="10"/>
    </row>
    <row r="93" customFormat="false" ht="12.75" hidden="false" customHeight="true" outlineLevel="0" collapsed="false">
      <c r="A93" s="58" t="n">
        <v>0</v>
      </c>
      <c r="B93" s="23" t="n">
        <v>0</v>
      </c>
      <c r="C93" s="23" t="n">
        <v>0</v>
      </c>
      <c r="D93" s="59" t="n">
        <v>0</v>
      </c>
      <c r="E93" s="23" t="n">
        <v>0</v>
      </c>
      <c r="F93" s="23" t="n">
        <v>0</v>
      </c>
      <c r="G93" s="12"/>
      <c r="H93" s="12"/>
      <c r="I93" s="12"/>
      <c r="J93" s="10"/>
    </row>
    <row r="94" customFormat="false" ht="12.75" hidden="false" customHeight="true" outlineLevel="0" collapsed="false">
      <c r="A94" s="58" t="n">
        <v>0</v>
      </c>
      <c r="B94" s="23" t="n">
        <v>0</v>
      </c>
      <c r="C94" s="23" t="n">
        <v>0</v>
      </c>
      <c r="D94" s="59" t="n">
        <v>6</v>
      </c>
      <c r="E94" s="23" t="n">
        <v>0</v>
      </c>
      <c r="F94" s="23" t="n">
        <v>0</v>
      </c>
      <c r="G94" s="12"/>
      <c r="H94" s="12"/>
      <c r="I94" s="12"/>
      <c r="J94" s="10"/>
    </row>
    <row r="95" customFormat="false" ht="12.75" hidden="false" customHeight="true" outlineLevel="0" collapsed="false">
      <c r="A95" s="58"/>
      <c r="B95" s="23"/>
      <c r="C95" s="23" t="n">
        <v>0</v>
      </c>
      <c r="D95" s="59" t="n">
        <v>0</v>
      </c>
      <c r="E95" s="23" t="n">
        <v>0</v>
      </c>
      <c r="F95" s="23" t="n">
        <f aca="false">+E95*D95</f>
        <v>0</v>
      </c>
      <c r="G95" s="12"/>
      <c r="H95" s="12"/>
      <c r="I95" s="12"/>
      <c r="J95" s="10"/>
    </row>
    <row r="96" customFormat="false" ht="12.75" hidden="false" customHeight="true" outlineLevel="0" collapsed="false">
      <c r="A96" s="58"/>
      <c r="B96" s="23"/>
      <c r="C96" s="23" t="n">
        <v>0</v>
      </c>
      <c r="D96" s="59" t="n">
        <v>0</v>
      </c>
      <c r="E96" s="23" t="n">
        <v>0</v>
      </c>
      <c r="F96" s="23" t="n">
        <f aca="false">+E96*D96</f>
        <v>0</v>
      </c>
      <c r="G96" s="12"/>
      <c r="H96" s="12"/>
      <c r="I96" s="12"/>
      <c r="J96" s="10"/>
    </row>
    <row r="97" customFormat="false" ht="12.75" hidden="false" customHeight="true" outlineLevel="0" collapsed="false">
      <c r="A97" s="58"/>
      <c r="B97" s="23"/>
      <c r="C97" s="23"/>
      <c r="D97" s="59"/>
      <c r="E97" s="23"/>
      <c r="F97" s="23" t="n">
        <f aca="false">+E97*D97</f>
        <v>0</v>
      </c>
      <c r="G97" s="12"/>
      <c r="H97" s="12"/>
      <c r="I97" s="12"/>
      <c r="J97" s="10"/>
      <c r="L97" s="9" t="n">
        <f aca="false">400+200</f>
        <v>600</v>
      </c>
    </row>
    <row r="98" customFormat="false" ht="13.5" hidden="false" customHeight="true" outlineLevel="0" collapsed="false">
      <c r="A98" s="46" t="s">
        <v>90</v>
      </c>
      <c r="B98" s="60"/>
      <c r="C98" s="60"/>
      <c r="D98" s="60"/>
      <c r="E98" s="60"/>
      <c r="F98" s="61" t="n">
        <f aca="false">+SUM(F91:F97)</f>
        <v>450000</v>
      </c>
      <c r="G98" s="12"/>
      <c r="H98" s="12"/>
      <c r="I98" s="12"/>
      <c r="J98" s="10"/>
    </row>
    <row r="99" customFormat="false" ht="12.75" hidden="false" customHeight="true" outlineLevel="0" collapsed="false">
      <c r="A99" s="29"/>
      <c r="B99" s="12"/>
      <c r="C99" s="12"/>
      <c r="D99" s="12"/>
      <c r="E99" s="12"/>
      <c r="F99" s="12"/>
      <c r="G99" s="12"/>
      <c r="H99" s="12"/>
      <c r="I99" s="12"/>
      <c r="J99" s="10"/>
    </row>
    <row r="100" customFormat="false" ht="12.75" hidden="false" customHeight="true" outlineLevel="0" collapsed="false">
      <c r="A100" s="29"/>
      <c r="B100" s="12"/>
      <c r="C100" s="12"/>
      <c r="D100" s="12"/>
      <c r="E100" s="12"/>
      <c r="F100" s="12"/>
      <c r="G100" s="12"/>
      <c r="H100" s="12"/>
      <c r="I100" s="12"/>
      <c r="J100" s="10"/>
    </row>
    <row r="101" customFormat="false" ht="12.75" hidden="false" customHeight="true" outlineLevel="0" collapsed="false">
      <c r="A101" s="29" t="s">
        <v>111</v>
      </c>
      <c r="B101" s="12"/>
      <c r="C101" s="12"/>
      <c r="D101" s="12"/>
      <c r="E101" s="12"/>
      <c r="F101" s="12"/>
      <c r="G101" s="12"/>
      <c r="H101" s="12"/>
      <c r="I101" s="12"/>
      <c r="J101" s="10"/>
    </row>
    <row r="102" customFormat="false" ht="12.75" hidden="false" customHeight="true" outlineLevel="0" collapsed="false">
      <c r="A102" s="29"/>
      <c r="B102" s="12"/>
      <c r="C102" s="12"/>
      <c r="D102" s="12"/>
      <c r="E102" s="12"/>
      <c r="F102" s="12"/>
      <c r="G102" s="12"/>
      <c r="H102" s="12"/>
      <c r="I102" s="12"/>
      <c r="J102" s="10"/>
      <c r="L102" s="9" t="n">
        <f aca="false">17500+20000</f>
        <v>37500</v>
      </c>
    </row>
    <row r="103" customFormat="false" ht="12.75" hidden="false" customHeight="true" outlineLevel="0" collapsed="false">
      <c r="A103" s="29" t="s">
        <v>112</v>
      </c>
      <c r="B103" s="12"/>
      <c r="C103" s="12"/>
      <c r="D103" s="12"/>
      <c r="E103" s="12"/>
      <c r="F103" s="12"/>
      <c r="G103" s="12"/>
      <c r="H103" s="12"/>
      <c r="I103" s="12"/>
      <c r="J103" s="10"/>
      <c r="L103" s="9" t="n">
        <f aca="false">L102/2</f>
        <v>18750</v>
      </c>
    </row>
    <row r="104" customFormat="false" ht="12.75" hidden="false" customHeight="true" outlineLevel="0" collapsed="false">
      <c r="A104" s="29"/>
      <c r="B104" s="12"/>
      <c r="C104" s="12"/>
      <c r="D104" s="12"/>
      <c r="E104" s="12"/>
      <c r="F104" s="12"/>
      <c r="G104" s="12"/>
      <c r="H104" s="12"/>
      <c r="I104" s="12"/>
      <c r="J104" s="10"/>
    </row>
    <row r="105" customFormat="false" ht="12.75" hidden="false" customHeight="true" outlineLevel="0" collapsed="false">
      <c r="A105" s="14" t="s">
        <v>48</v>
      </c>
      <c r="B105" s="15" t="s">
        <v>49</v>
      </c>
      <c r="C105" s="15" t="s">
        <v>50</v>
      </c>
      <c r="D105" s="15" t="s">
        <v>51</v>
      </c>
      <c r="E105" s="15" t="s">
        <v>52</v>
      </c>
      <c r="F105" s="15" t="s">
        <v>53</v>
      </c>
      <c r="G105" s="16" t="s">
        <v>54</v>
      </c>
      <c r="H105" s="16" t="s">
        <v>55</v>
      </c>
      <c r="I105" s="16" t="s">
        <v>56</v>
      </c>
      <c r="J105" s="10"/>
    </row>
    <row r="106" customFormat="false" ht="12.75" hidden="false" customHeight="true" outlineLevel="0" collapsed="false">
      <c r="A106" s="17" t="s">
        <v>113</v>
      </c>
      <c r="B106" s="18" t="s">
        <v>49</v>
      </c>
      <c r="C106" s="18" t="n">
        <v>0</v>
      </c>
      <c r="D106" s="18" t="n">
        <v>0</v>
      </c>
      <c r="E106" s="18" t="n">
        <f aca="false">C106*25</f>
        <v>0</v>
      </c>
      <c r="F106" s="18" t="n">
        <v>700</v>
      </c>
      <c r="G106" s="62" t="n">
        <v>2800</v>
      </c>
      <c r="H106" s="63" t="n">
        <v>2000</v>
      </c>
      <c r="I106" s="64" t="n">
        <f aca="false">+H106*G106</f>
        <v>5600000</v>
      </c>
      <c r="J106" s="10"/>
    </row>
    <row r="107" customFormat="false" ht="12.75" hidden="false" customHeight="true" outlineLevel="0" collapsed="false">
      <c r="A107" s="17" t="s">
        <v>114</v>
      </c>
      <c r="B107" s="18" t="s">
        <v>49</v>
      </c>
      <c r="C107" s="18" t="n">
        <v>0</v>
      </c>
      <c r="D107" s="18" t="n">
        <v>0</v>
      </c>
      <c r="E107" s="18"/>
      <c r="F107" s="18" t="n">
        <v>300</v>
      </c>
      <c r="G107" s="62" t="n">
        <v>1200</v>
      </c>
      <c r="H107" s="20" t="n">
        <v>1500</v>
      </c>
      <c r="I107" s="64" t="n">
        <f aca="false">+H107*G107</f>
        <v>1800000</v>
      </c>
      <c r="J107" s="10"/>
    </row>
    <row r="108" customFormat="false" ht="12.75" hidden="false" customHeight="true" outlineLevel="0" collapsed="false">
      <c r="A108" s="17" t="n">
        <v>0</v>
      </c>
      <c r="B108" s="18" t="n">
        <v>0</v>
      </c>
      <c r="C108" s="18" t="n">
        <v>0</v>
      </c>
      <c r="D108" s="18" t="n">
        <v>0</v>
      </c>
      <c r="E108" s="18" t="n">
        <v>0</v>
      </c>
      <c r="F108" s="18" t="n">
        <v>0</v>
      </c>
      <c r="G108" s="62" t="n">
        <v>0</v>
      </c>
      <c r="H108" s="20" t="n">
        <v>0</v>
      </c>
      <c r="I108" s="64" t="n">
        <f aca="false">+H108*G108</f>
        <v>0</v>
      </c>
      <c r="J108" s="10"/>
    </row>
    <row r="109" customFormat="false" ht="12.75" hidden="false" customHeight="true" outlineLevel="0" collapsed="false">
      <c r="A109" s="17" t="n">
        <v>0</v>
      </c>
      <c r="B109" s="18" t="n">
        <v>0</v>
      </c>
      <c r="C109" s="18" t="n">
        <v>0</v>
      </c>
      <c r="D109" s="18" t="n">
        <f aca="false">E109/4</f>
        <v>0</v>
      </c>
      <c r="E109" s="18" t="n">
        <v>0</v>
      </c>
      <c r="F109" s="18" t="n">
        <v>0</v>
      </c>
      <c r="G109" s="62" t="n">
        <f aca="false">F109*2</f>
        <v>0</v>
      </c>
      <c r="H109" s="20" t="n">
        <v>0</v>
      </c>
      <c r="I109" s="64" t="n">
        <f aca="false">+H109*G109</f>
        <v>0</v>
      </c>
      <c r="J109" s="10"/>
    </row>
    <row r="110" customFormat="false" ht="12.75" hidden="false" customHeight="true" outlineLevel="0" collapsed="false">
      <c r="A110" s="17"/>
      <c r="B110" s="18" t="n">
        <v>0</v>
      </c>
      <c r="C110" s="18"/>
      <c r="D110" s="18"/>
      <c r="E110" s="18"/>
      <c r="F110" s="18" t="n">
        <v>0</v>
      </c>
      <c r="G110" s="62" t="n">
        <v>0</v>
      </c>
      <c r="H110" s="20" t="n">
        <v>0</v>
      </c>
      <c r="I110" s="64" t="n">
        <f aca="false">+H110*G110</f>
        <v>0</v>
      </c>
      <c r="J110" s="10"/>
    </row>
    <row r="111" customFormat="false" ht="12.75" hidden="false" customHeight="true" outlineLevel="0" collapsed="false">
      <c r="A111" s="17"/>
      <c r="B111" s="18" t="n">
        <v>0</v>
      </c>
      <c r="C111" s="18"/>
      <c r="D111" s="18"/>
      <c r="E111" s="18"/>
      <c r="F111" s="18" t="n">
        <v>0</v>
      </c>
      <c r="G111" s="62" t="n">
        <v>0</v>
      </c>
      <c r="H111" s="20" t="n">
        <v>0</v>
      </c>
      <c r="I111" s="64" t="n">
        <f aca="false">+H111*G111</f>
        <v>0</v>
      </c>
      <c r="J111" s="10"/>
    </row>
    <row r="112" customFormat="false" ht="12.75" hidden="false" customHeight="true" outlineLevel="0" collapsed="false">
      <c r="A112" s="17"/>
      <c r="B112" s="18"/>
      <c r="C112" s="18"/>
      <c r="D112" s="18"/>
      <c r="E112" s="18"/>
      <c r="F112" s="18" t="n">
        <v>0</v>
      </c>
      <c r="G112" s="62" t="n">
        <v>0</v>
      </c>
      <c r="H112" s="20" t="n">
        <v>0</v>
      </c>
      <c r="I112" s="64" t="n">
        <f aca="false">+H112*G112</f>
        <v>0</v>
      </c>
      <c r="J112" s="10"/>
    </row>
    <row r="113" customFormat="false" ht="12.75" hidden="false" customHeight="true" outlineLevel="0" collapsed="false">
      <c r="A113" s="17"/>
      <c r="B113" s="18"/>
      <c r="C113" s="18" t="n">
        <v>0</v>
      </c>
      <c r="D113" s="18" t="n">
        <f aca="false">E113/4</f>
        <v>0</v>
      </c>
      <c r="E113" s="18" t="n">
        <f aca="false">C113*25</f>
        <v>0</v>
      </c>
      <c r="F113" s="18" t="n">
        <v>0</v>
      </c>
      <c r="G113" s="62" t="n">
        <v>0</v>
      </c>
      <c r="H113" s="20" t="n">
        <v>0</v>
      </c>
      <c r="I113" s="64" t="n">
        <f aca="false">+H113*G113</f>
        <v>0</v>
      </c>
      <c r="J113" s="10"/>
    </row>
    <row r="114" customFormat="false" ht="12.75" hidden="false" customHeight="true" outlineLevel="0" collapsed="false">
      <c r="A114" s="24" t="s">
        <v>64</v>
      </c>
      <c r="B114" s="25"/>
      <c r="C114" s="26"/>
      <c r="D114" s="26"/>
      <c r="E114" s="26"/>
      <c r="F114" s="26"/>
      <c r="G114" s="26"/>
      <c r="H114" s="26"/>
      <c r="I114" s="65" t="n">
        <f aca="false">SUM(I106:I113)</f>
        <v>7400000</v>
      </c>
      <c r="J114" s="10"/>
    </row>
    <row r="115" customFormat="false" ht="12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</sheetData>
  <mergeCells count="10">
    <mergeCell ref="A2:I2"/>
    <mergeCell ref="A4:I4"/>
    <mergeCell ref="A15:I15"/>
    <mergeCell ref="A26:E26"/>
    <mergeCell ref="A28:E28"/>
    <mergeCell ref="A30:A31"/>
    <mergeCell ref="B30:C30"/>
    <mergeCell ref="D30:E30"/>
    <mergeCell ref="F30:F31"/>
    <mergeCell ref="G30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7" activeCellId="0" sqref="H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6.54"/>
    <col collapsed="false" customWidth="true" hidden="false" outlineLevel="0" max="2" min="2" style="67" width="11.54"/>
    <col collapsed="false" customWidth="true" hidden="false" outlineLevel="0" max="3" min="3" style="67" width="15.45"/>
    <col collapsed="false" customWidth="true" hidden="false" outlineLevel="0" max="4" min="4" style="67" width="7.82"/>
    <col collapsed="false" customWidth="true" hidden="false" outlineLevel="0" max="5" min="5" style="66" width="3.45"/>
    <col collapsed="false" customWidth="false" hidden="false" outlineLevel="0" max="16384" min="6" style="66" width="11.45"/>
  </cols>
  <sheetData>
    <row r="1" customFormat="false" ht="15" hidden="false" customHeight="true" outlineLevel="0" collapsed="false">
      <c r="A1" s="68"/>
      <c r="B1" s="69"/>
      <c r="C1" s="69"/>
      <c r="D1" s="69"/>
      <c r="E1" s="68"/>
    </row>
    <row r="2" customFormat="false" ht="20.25" hidden="false" customHeight="true" outlineLevel="0" collapsed="false">
      <c r="A2" s="70" t="s">
        <v>115</v>
      </c>
      <c r="B2" s="71" t="s">
        <v>116</v>
      </c>
      <c r="C2" s="71"/>
      <c r="D2" s="72" t="s">
        <v>117</v>
      </c>
      <c r="E2" s="68"/>
    </row>
    <row r="3" customFormat="false" ht="15" hidden="false" customHeight="true" outlineLevel="0" collapsed="false">
      <c r="A3" s="73"/>
      <c r="B3" s="74"/>
      <c r="C3" s="74"/>
      <c r="D3" s="75"/>
      <c r="E3" s="68"/>
    </row>
    <row r="4" customFormat="false" ht="18" hidden="false" customHeight="true" outlineLevel="0" collapsed="false">
      <c r="A4" s="76" t="s">
        <v>118</v>
      </c>
      <c r="B4" s="77"/>
      <c r="C4" s="77" t="n">
        <f aca="false">SUM(B5:B10)</f>
        <v>15000</v>
      </c>
      <c r="D4" s="78" t="n">
        <f aca="false">C4/$C$46</f>
        <v>0.003</v>
      </c>
      <c r="E4" s="68"/>
    </row>
    <row r="5" customFormat="false" ht="15" hidden="false" customHeight="true" outlineLevel="0" collapsed="false">
      <c r="A5" s="79" t="s">
        <v>119</v>
      </c>
      <c r="B5" s="80"/>
      <c r="C5" s="80"/>
      <c r="D5" s="81"/>
      <c r="E5" s="68"/>
    </row>
    <row r="6" customFormat="false" ht="15" hidden="false" customHeight="true" outlineLevel="0" collapsed="false">
      <c r="A6" s="79" t="s">
        <v>120</v>
      </c>
      <c r="B6" s="80" t="n">
        <v>0</v>
      </c>
      <c r="C6" s="80"/>
      <c r="D6" s="81"/>
      <c r="E6" s="68"/>
    </row>
    <row r="7" customFormat="false" ht="15" hidden="false" customHeight="true" outlineLevel="0" collapsed="false">
      <c r="A7" s="79" t="s">
        <v>121</v>
      </c>
      <c r="B7" s="80" t="n">
        <v>15000</v>
      </c>
      <c r="C7" s="80"/>
      <c r="D7" s="81"/>
      <c r="E7" s="68"/>
    </row>
    <row r="8" customFormat="false" ht="15" hidden="false" customHeight="true" outlineLevel="0" collapsed="false">
      <c r="A8" s="79" t="s">
        <v>122</v>
      </c>
      <c r="B8" s="80"/>
      <c r="C8" s="80"/>
      <c r="D8" s="81"/>
      <c r="E8" s="68"/>
    </row>
    <row r="9" customFormat="false" ht="15" hidden="false" customHeight="true" outlineLevel="0" collapsed="false">
      <c r="A9" s="79" t="s">
        <v>123</v>
      </c>
      <c r="B9" s="80"/>
      <c r="C9" s="80"/>
      <c r="D9" s="81"/>
      <c r="E9" s="68"/>
    </row>
    <row r="10" customFormat="false" ht="15" hidden="false" customHeight="true" outlineLevel="0" collapsed="false">
      <c r="A10" s="79" t="s">
        <v>124</v>
      </c>
      <c r="B10" s="80"/>
      <c r="C10" s="80"/>
      <c r="D10" s="81"/>
      <c r="E10" s="68"/>
    </row>
    <row r="11" customFormat="false" ht="18" hidden="false" customHeight="true" outlineLevel="0" collapsed="false">
      <c r="A11" s="76" t="s">
        <v>125</v>
      </c>
      <c r="B11" s="77"/>
      <c r="C11" s="77" t="n">
        <f aca="false">B12+B19+B28+B34</f>
        <v>3985000</v>
      </c>
      <c r="D11" s="78" t="n">
        <f aca="false">C11/$C$46</f>
        <v>0.797</v>
      </c>
      <c r="E11" s="68"/>
    </row>
    <row r="12" customFormat="false" ht="15.75" hidden="false" customHeight="true" outlineLevel="0" collapsed="false">
      <c r="A12" s="82" t="s">
        <v>126</v>
      </c>
      <c r="B12" s="83" t="n">
        <f aca="false">SUM(B13:B18)</f>
        <v>0</v>
      </c>
      <c r="C12" s="83"/>
      <c r="D12" s="84"/>
      <c r="E12" s="68"/>
    </row>
    <row r="13" customFormat="false" ht="15" hidden="false" customHeight="true" outlineLevel="0" collapsed="false">
      <c r="A13" s="85" t="n">
        <f aca="false">'Hypothèse de base'!A43</f>
        <v>0</v>
      </c>
      <c r="B13" s="80" t="n">
        <f aca="false">+'Hypothèse de base'!D43</f>
        <v>0</v>
      </c>
      <c r="C13" s="80"/>
      <c r="D13" s="81"/>
      <c r="E13" s="68"/>
    </row>
    <row r="14" customFormat="false" ht="15" hidden="false" customHeight="true" outlineLevel="0" collapsed="false">
      <c r="A14" s="85" t="n">
        <f aca="false">+'Hypothèse de base'!A44</f>
        <v>0</v>
      </c>
      <c r="B14" s="80" t="n">
        <f aca="false">+'Hypothèse de base'!D44</f>
        <v>0</v>
      </c>
      <c r="C14" s="80"/>
      <c r="D14" s="81"/>
      <c r="E14" s="68"/>
    </row>
    <row r="15" customFormat="false" ht="15" hidden="false" customHeight="true" outlineLevel="0" collapsed="false">
      <c r="A15" s="85" t="n">
        <f aca="false">+'Hypothèse de base'!A45</f>
        <v>0</v>
      </c>
      <c r="B15" s="80" t="n">
        <f aca="false">+'Hypothèse de base'!D45</f>
        <v>0</v>
      </c>
      <c r="C15" s="80"/>
      <c r="D15" s="81"/>
      <c r="E15" s="68"/>
    </row>
    <row r="16" customFormat="false" ht="15" hidden="false" customHeight="true" outlineLevel="0" collapsed="false">
      <c r="A16" s="85" t="n">
        <f aca="false">+'Hypothèse de base'!A46</f>
        <v>0</v>
      </c>
      <c r="B16" s="80" t="n">
        <f aca="false">+'Hypothèse de base'!D46</f>
        <v>0</v>
      </c>
      <c r="C16" s="80"/>
      <c r="D16" s="81"/>
      <c r="E16" s="68"/>
    </row>
    <row r="17" customFormat="false" ht="15" hidden="false" customHeight="true" outlineLevel="0" collapsed="false">
      <c r="A17" s="85" t="n">
        <f aca="false">+'Hypothèse de base'!A47</f>
        <v>0</v>
      </c>
      <c r="B17" s="80" t="n">
        <f aca="false">+'Hypothèse de base'!D47</f>
        <v>0</v>
      </c>
      <c r="C17" s="80"/>
      <c r="D17" s="81"/>
      <c r="E17" s="68"/>
    </row>
    <row r="18" customFormat="false" ht="15" hidden="false" customHeight="true" outlineLevel="0" collapsed="false">
      <c r="A18" s="85" t="n">
        <f aca="false">+'Hypothèse de base'!A48</f>
        <v>0</v>
      </c>
      <c r="B18" s="80" t="n">
        <f aca="false">+'Hypothèse de base'!D48</f>
        <v>0</v>
      </c>
      <c r="C18" s="80"/>
      <c r="D18" s="81"/>
      <c r="E18" s="68"/>
    </row>
    <row r="19" customFormat="false" ht="15.75" hidden="false" customHeight="true" outlineLevel="0" collapsed="false">
      <c r="A19" s="82" t="s">
        <v>127</v>
      </c>
      <c r="B19" s="83" t="n">
        <f aca="false">SUM(B20:B27)</f>
        <v>3085000</v>
      </c>
      <c r="C19" s="83"/>
      <c r="D19" s="84"/>
      <c r="E19" s="68"/>
    </row>
    <row r="20" customFormat="false" ht="15" hidden="false" customHeight="true" outlineLevel="0" collapsed="false">
      <c r="A20" s="85" t="str">
        <f aca="false">+'Hypothèse de base'!A54</f>
        <v>Aménagement préparatoire</v>
      </c>
      <c r="B20" s="80" t="n">
        <f aca="false">+'Hypothèse de base'!D54</f>
        <v>45000</v>
      </c>
      <c r="C20" s="80"/>
      <c r="D20" s="81"/>
      <c r="E20" s="68"/>
    </row>
    <row r="21" customFormat="false" ht="15" hidden="false" customHeight="true" outlineLevel="0" collapsed="false">
      <c r="A21" s="85" t="str">
        <f aca="false">'Hypothèse de base'!A55</f>
        <v>Formation des billons</v>
      </c>
      <c r="B21" s="80" t="n">
        <f aca="false">+'Hypothèse de base'!D55</f>
        <v>60000</v>
      </c>
      <c r="C21" s="80"/>
      <c r="D21" s="81"/>
      <c r="E21" s="68"/>
    </row>
    <row r="22" customFormat="false" ht="15" hidden="false" customHeight="true" outlineLevel="0" collapsed="false">
      <c r="A22" s="85" t="str">
        <f aca="false">'Hypothèse de base'!A56</f>
        <v>Système goutte-à-goutte</v>
      </c>
      <c r="B22" s="80" t="n">
        <f aca="false">+'Hypothèse de base'!D56</f>
        <v>750000</v>
      </c>
      <c r="C22" s="80"/>
      <c r="D22" s="81"/>
      <c r="E22" s="68"/>
    </row>
    <row r="23" customFormat="false" ht="15" hidden="false" customHeight="true" outlineLevel="0" collapsed="false">
      <c r="A23" s="85" t="str">
        <f aca="false">+'Hypothèse de base'!A57</f>
        <v>Clôture en grillage 0,75 ha</v>
      </c>
      <c r="B23" s="80" t="n">
        <f aca="false">+'Hypothèse de base'!D57</f>
        <v>1000000</v>
      </c>
      <c r="C23" s="80"/>
      <c r="D23" s="81"/>
      <c r="E23" s="68"/>
    </row>
    <row r="24" customFormat="false" ht="15" hidden="false" customHeight="true" outlineLevel="0" collapsed="false">
      <c r="A24" s="85" t="str">
        <f aca="false">'Hypothèse de base'!A58</f>
        <v>Bassin 40 m³</v>
      </c>
      <c r="B24" s="80" t="n">
        <f aca="false">'Hypothèse de base'!D58</f>
        <v>250000</v>
      </c>
      <c r="C24" s="80"/>
      <c r="D24" s="81"/>
      <c r="E24" s="68"/>
    </row>
    <row r="25" customFormat="false" ht="15" hidden="false" customHeight="true" outlineLevel="0" collapsed="false">
      <c r="A25" s="85" t="str">
        <f aca="false">'Hypothèse de base'!A59</f>
        <v>Puits à grand diamètre</v>
      </c>
      <c r="B25" s="80" t="n">
        <f aca="false">'Hypothèse de base'!D59</f>
        <v>980000</v>
      </c>
      <c r="C25" s="80"/>
      <c r="D25" s="81"/>
      <c r="E25" s="68"/>
    </row>
    <row r="26" customFormat="false" ht="15" hidden="false" customHeight="true" outlineLevel="0" collapsed="false">
      <c r="A26" s="85" t="n">
        <f aca="false">'Hypothèse de base'!A60</f>
        <v>0</v>
      </c>
      <c r="B26" s="80" t="n">
        <f aca="false">'Hypothèse de base'!D60</f>
        <v>0</v>
      </c>
      <c r="C26" s="80"/>
      <c r="D26" s="81"/>
      <c r="E26" s="68"/>
    </row>
    <row r="27" customFormat="false" ht="15" hidden="false" customHeight="true" outlineLevel="0" collapsed="false">
      <c r="A27" s="85" t="n">
        <f aca="false">'Hypothèse de base'!A61</f>
        <v>0</v>
      </c>
      <c r="B27" s="80" t="n">
        <f aca="false">'Hypothèse de base'!D61</f>
        <v>0</v>
      </c>
      <c r="C27" s="80"/>
      <c r="D27" s="81"/>
      <c r="E27" s="68"/>
    </row>
    <row r="28" customFormat="false" ht="15.75" hidden="false" customHeight="true" outlineLevel="0" collapsed="false">
      <c r="A28" s="86" t="s">
        <v>98</v>
      </c>
      <c r="B28" s="83" t="n">
        <f aca="false">SUM(B29:B33)</f>
        <v>20000</v>
      </c>
      <c r="C28" s="83"/>
      <c r="D28" s="84"/>
      <c r="E28" s="68"/>
    </row>
    <row r="29" customFormat="false" ht="15" hidden="false" customHeight="true" outlineLevel="0" collapsed="false">
      <c r="A29" s="85" t="str">
        <f aca="false">+'Hypothèse de base'!A68</f>
        <v>Balance</v>
      </c>
      <c r="B29" s="80" t="n">
        <f aca="false">+'Hypothèse de base'!D68</f>
        <v>20000</v>
      </c>
      <c r="C29" s="80"/>
      <c r="D29" s="81"/>
      <c r="E29" s="68"/>
    </row>
    <row r="30" customFormat="false" ht="15" hidden="false" customHeight="true" outlineLevel="0" collapsed="false">
      <c r="A30" s="85" t="n">
        <f aca="false">+'Hypothèse de base'!A69</f>
        <v>0</v>
      </c>
      <c r="B30" s="80" t="n">
        <f aca="false">+'Hypothèse de base'!D69</f>
        <v>0</v>
      </c>
      <c r="C30" s="80"/>
      <c r="D30" s="81"/>
      <c r="E30" s="68"/>
    </row>
    <row r="31" customFormat="false" ht="15" hidden="false" customHeight="true" outlineLevel="0" collapsed="false">
      <c r="A31" s="85" t="n">
        <f aca="false">+'Hypothèse de base'!A70</f>
        <v>0</v>
      </c>
      <c r="B31" s="80" t="n">
        <f aca="false">+'Hypothèse de base'!D70</f>
        <v>0</v>
      </c>
      <c r="C31" s="80"/>
      <c r="D31" s="81"/>
      <c r="E31" s="68"/>
    </row>
    <row r="32" customFormat="false" ht="15" hidden="false" customHeight="true" outlineLevel="0" collapsed="false">
      <c r="A32" s="85" t="n">
        <f aca="false">+'Hypothèse de base'!A71</f>
        <v>0</v>
      </c>
      <c r="B32" s="80" t="n">
        <f aca="false">+'Hypothèse de base'!D71</f>
        <v>0</v>
      </c>
      <c r="C32" s="80"/>
      <c r="D32" s="81"/>
      <c r="E32" s="68"/>
    </row>
    <row r="33" customFormat="false" ht="15" hidden="false" customHeight="true" outlineLevel="0" collapsed="false">
      <c r="A33" s="85" t="n">
        <f aca="false">+'Hypothèse de base'!A72</f>
        <v>0</v>
      </c>
      <c r="B33" s="80" t="n">
        <f aca="false">+'Hypothèse de base'!D72</f>
        <v>0</v>
      </c>
      <c r="C33" s="80"/>
      <c r="D33" s="81"/>
      <c r="E33" s="68"/>
    </row>
    <row r="34" customFormat="false" ht="18" hidden="false" customHeight="true" outlineLevel="0" collapsed="false">
      <c r="A34" s="82" t="s">
        <v>100</v>
      </c>
      <c r="B34" s="83" t="n">
        <f aca="false">SUM(B35:B39)</f>
        <v>880000</v>
      </c>
      <c r="C34" s="83"/>
      <c r="D34" s="84"/>
      <c r="E34" s="68"/>
      <c r="I34" s="87"/>
    </row>
    <row r="35" customFormat="false" ht="15" hidden="false" customHeight="true" outlineLevel="0" collapsed="false">
      <c r="A35" s="85" t="str">
        <f aca="false">+'Hypothèse de base'!A78</f>
        <v>Paillage en plastique</v>
      </c>
      <c r="B35" s="80" t="n">
        <f aca="false">+'Hypothèse de base'!D78</f>
        <v>400000</v>
      </c>
      <c r="C35" s="80"/>
      <c r="D35" s="81"/>
      <c r="E35" s="68"/>
    </row>
    <row r="36" customFormat="false" ht="15" hidden="false" customHeight="true" outlineLevel="0" collapsed="false">
      <c r="A36" s="85" t="str">
        <f aca="false">+'Hypothèse de base'!A79</f>
        <v>Pulvérisateurs</v>
      </c>
      <c r="B36" s="80" t="n">
        <f aca="false">+'Hypothèse de base'!D79</f>
        <v>75000</v>
      </c>
      <c r="C36" s="80"/>
      <c r="D36" s="81"/>
      <c r="E36" s="68"/>
    </row>
    <row r="37" customFormat="false" ht="15" hidden="false" customHeight="true" outlineLevel="0" collapsed="false">
      <c r="A37" s="85" t="str">
        <f aca="false">+'Hypothèse de base'!A80</f>
        <v>Brouettes + Houes</v>
      </c>
      <c r="B37" s="80" t="n">
        <f aca="false">+'Hypothèse de base'!D80</f>
        <v>60000</v>
      </c>
      <c r="C37" s="80"/>
      <c r="D37" s="81"/>
      <c r="E37" s="68"/>
    </row>
    <row r="38" customFormat="false" ht="15" hidden="false" customHeight="true" outlineLevel="0" collapsed="false">
      <c r="A38" s="85" t="str">
        <f aca="false">+'Hypothèse de base'!A81</f>
        <v>P 17 (2000 m)</v>
      </c>
      <c r="B38" s="80" t="n">
        <f aca="false">+'Hypothèse de base'!D81</f>
        <v>300000</v>
      </c>
      <c r="C38" s="80"/>
      <c r="D38" s="81"/>
      <c r="E38" s="68"/>
    </row>
    <row r="39" customFormat="false" ht="15" hidden="false" customHeight="true" outlineLevel="0" collapsed="false">
      <c r="A39" s="85" t="str">
        <f aca="false">'Hypothèse de base'!A82</f>
        <v>Outils divers (dabas, pioches, pelles)</v>
      </c>
      <c r="B39" s="80" t="n">
        <f aca="false">'Hypothèse de base'!D82</f>
        <v>45000</v>
      </c>
      <c r="C39" s="80"/>
      <c r="D39" s="81"/>
      <c r="E39" s="68"/>
    </row>
    <row r="40" customFormat="false" ht="18" hidden="false" customHeight="true" outlineLevel="0" collapsed="false">
      <c r="A40" s="76" t="s">
        <v>128</v>
      </c>
      <c r="B40" s="77"/>
      <c r="C40" s="77" t="n">
        <f aca="false">SUM(B41:B45)</f>
        <v>1000000</v>
      </c>
      <c r="D40" s="78" t="n">
        <f aca="false">C40/$C$46</f>
        <v>0.2</v>
      </c>
      <c r="E40" s="68"/>
    </row>
    <row r="41" customFormat="false" ht="15" hidden="false" customHeight="true" outlineLevel="0" collapsed="false">
      <c r="A41" s="79" t="s">
        <v>129</v>
      </c>
      <c r="B41" s="88" t="n">
        <f aca="false">('Hypothèse de base'!I13+'Hypothèse de base'!I23)/4</f>
        <v>480000</v>
      </c>
      <c r="C41" s="88"/>
      <c r="D41" s="75"/>
      <c r="E41" s="68"/>
      <c r="F41" s="89" t="n">
        <v>1</v>
      </c>
    </row>
    <row r="42" customFormat="false" ht="15" hidden="false" customHeight="true" outlineLevel="0" collapsed="false">
      <c r="A42" s="79" t="s">
        <v>130</v>
      </c>
      <c r="B42" s="88" t="n">
        <v>0</v>
      </c>
      <c r="C42" s="88"/>
      <c r="D42" s="75"/>
      <c r="E42" s="68"/>
      <c r="F42" s="90" t="n">
        <v>1</v>
      </c>
    </row>
    <row r="43" customFormat="false" ht="15" hidden="false" customHeight="true" outlineLevel="0" collapsed="false">
      <c r="A43" s="79" t="s">
        <v>131</v>
      </c>
      <c r="B43" s="88" t="n">
        <v>0</v>
      </c>
      <c r="C43" s="88"/>
      <c r="D43" s="75"/>
      <c r="E43" s="68"/>
      <c r="F43" s="91" t="n">
        <v>1</v>
      </c>
    </row>
    <row r="44" customFormat="false" ht="15" hidden="false" customHeight="true" outlineLevel="0" collapsed="false">
      <c r="A44" s="79" t="s">
        <v>132</v>
      </c>
      <c r="B44" s="88" t="n">
        <v>0</v>
      </c>
      <c r="C44" s="88"/>
      <c r="D44" s="75"/>
      <c r="E44" s="68"/>
      <c r="F44" s="92" t="n">
        <v>1</v>
      </c>
    </row>
    <row r="45" customFormat="false" ht="15" hidden="false" customHeight="true" outlineLevel="0" collapsed="false">
      <c r="A45" s="79" t="s">
        <v>133</v>
      </c>
      <c r="B45" s="88" t="n">
        <v>520000</v>
      </c>
      <c r="C45" s="88"/>
      <c r="D45" s="75"/>
      <c r="E45" s="68"/>
    </row>
    <row r="46" customFormat="false" ht="21.75" hidden="false" customHeight="true" outlineLevel="0" collapsed="false">
      <c r="A46" s="93" t="s">
        <v>134</v>
      </c>
      <c r="B46" s="93"/>
      <c r="C46" s="87" t="n">
        <f aca="false">C4+C11+C40</f>
        <v>5000000</v>
      </c>
      <c r="D46" s="94"/>
      <c r="E46" s="68"/>
    </row>
    <row r="47" customFormat="false" ht="15" hidden="false" customHeight="true" outlineLevel="0" collapsed="false">
      <c r="A47" s="68"/>
      <c r="B47" s="69"/>
      <c r="C47" s="69"/>
      <c r="D47" s="69"/>
      <c r="E47" s="68"/>
    </row>
  </sheetData>
  <mergeCells count="2">
    <mergeCell ref="B2:C2"/>
    <mergeCell ref="A46:B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95" width="55.82"/>
    <col collapsed="false" customWidth="false" hidden="false" outlineLevel="0" max="2" min="2" style="96" width="11.45"/>
    <col collapsed="false" customWidth="true" hidden="false" outlineLevel="0" max="3" min="3" style="96" width="14.45"/>
    <col collapsed="false" customWidth="true" hidden="false" outlineLevel="0" max="4" min="4" style="95" width="2.54"/>
    <col collapsed="false" customWidth="true" hidden="false" outlineLevel="0" max="5" min="5" style="95" width="21.45"/>
    <col collapsed="false" customWidth="true" hidden="false" outlineLevel="0" max="6" min="6" style="95" width="26"/>
    <col collapsed="false" customWidth="true" hidden="false" outlineLevel="0" max="7" min="7" style="97" width="6.54"/>
    <col collapsed="false" customWidth="false" hidden="false" outlineLevel="0" max="8" min="8" style="95" width="11.45"/>
    <col collapsed="false" customWidth="true" hidden="false" outlineLevel="0" max="16" min="9" style="98" width="2.54"/>
    <col collapsed="false" customWidth="false" hidden="true" outlineLevel="0" max="20" min="17" style="98" width="11.45"/>
    <col collapsed="false" customWidth="true" hidden="true" outlineLevel="0" max="21" min="21" style="98" width="16.54"/>
    <col collapsed="false" customWidth="true" hidden="true" outlineLevel="0" max="22" min="22" style="99" width="13.45"/>
    <col collapsed="false" customWidth="false" hidden="true" outlineLevel="0" max="30" min="23" style="98" width="11.45"/>
    <col collapsed="false" customWidth="false" hidden="false" outlineLevel="0" max="34" min="31" style="98" width="11.45"/>
    <col collapsed="false" customWidth="false" hidden="false" outlineLevel="0" max="16384" min="35" style="95" width="11.45"/>
  </cols>
  <sheetData>
    <row r="1" customFormat="false" ht="12.75" hidden="false" customHeight="true" outlineLevel="0" collapsed="false">
      <c r="A1" s="100"/>
      <c r="B1" s="100"/>
      <c r="C1" s="100"/>
      <c r="D1" s="100"/>
      <c r="E1" s="100"/>
      <c r="F1" s="100"/>
      <c r="G1" s="101"/>
      <c r="H1" s="100"/>
      <c r="I1" s="102"/>
    </row>
    <row r="2" customFormat="false" ht="21" hidden="false" customHeight="true" outlineLevel="0" collapsed="false">
      <c r="A2" s="103" t="s">
        <v>135</v>
      </c>
      <c r="B2" s="103"/>
      <c r="C2" s="104"/>
      <c r="D2" s="100"/>
      <c r="E2" s="105" t="s">
        <v>78</v>
      </c>
      <c r="F2" s="106" t="s">
        <v>136</v>
      </c>
      <c r="G2" s="107" t="s">
        <v>137</v>
      </c>
      <c r="H2" s="108" t="n">
        <v>0.1</v>
      </c>
      <c r="I2" s="102"/>
      <c r="W2" s="109" t="s">
        <v>138</v>
      </c>
      <c r="X2" s="109"/>
      <c r="Y2" s="109"/>
      <c r="Z2" s="110"/>
      <c r="AC2" s="98" t="s">
        <v>139</v>
      </c>
    </row>
    <row r="3" customFormat="false" ht="19.5" hidden="false" customHeight="true" outlineLevel="0" collapsed="false">
      <c r="A3" s="111"/>
      <c r="B3" s="111"/>
      <c r="C3" s="112"/>
      <c r="D3" s="100"/>
      <c r="E3" s="113" t="s">
        <v>140</v>
      </c>
      <c r="F3" s="114" t="s">
        <v>141</v>
      </c>
      <c r="G3" s="115" t="s">
        <v>142</v>
      </c>
      <c r="H3" s="116" t="n">
        <f aca="false">+IF(G3=$AC$11,$R$5,0)</f>
        <v>0</v>
      </c>
      <c r="I3" s="102"/>
      <c r="Q3" s="117"/>
      <c r="R3" s="117" t="n">
        <f aca="false">+IF(E3=S4,IF(E2=T4,U4,0),0)+IF(E3=S4,IF(E2=T5,U5),0)+IF(E3=S6,IF(E2=T6,U6,0),0)+IF(E3=S6,IF(E2=T7,U7,0),0)+IF(E3=S8,IF(E2=T4,U8,U8),0)+IF(E3=S9,IF(E2=T4,U8,U9),0)</f>
        <v>0.05</v>
      </c>
      <c r="U3" s="98" t="s">
        <v>136</v>
      </c>
      <c r="V3" s="99" t="s">
        <v>143</v>
      </c>
      <c r="W3" s="110" t="s">
        <v>144</v>
      </c>
      <c r="X3" s="110" t="s">
        <v>145</v>
      </c>
      <c r="Y3" s="110" t="s">
        <v>146</v>
      </c>
      <c r="Z3" s="110" t="s">
        <v>147</v>
      </c>
      <c r="AC3" s="98" t="s">
        <v>148</v>
      </c>
    </row>
    <row r="4" customFormat="false" ht="18" hidden="false" customHeight="true" outlineLevel="0" collapsed="false">
      <c r="A4" s="118" t="s">
        <v>149</v>
      </c>
      <c r="B4" s="119" t="n">
        <f aca="false">+B7+B10+B14</f>
        <v>1</v>
      </c>
      <c r="C4" s="120" t="n">
        <f aca="false">'Coût du projet'!C46</f>
        <v>5000000</v>
      </c>
      <c r="D4" s="100"/>
      <c r="E4" s="111"/>
      <c r="F4" s="114" t="s">
        <v>150</v>
      </c>
      <c r="G4" s="115" t="s">
        <v>142</v>
      </c>
      <c r="H4" s="116" t="n">
        <f aca="false">+IF(G4=$AC$11,$R$6,0)</f>
        <v>0</v>
      </c>
      <c r="I4" s="102"/>
      <c r="Q4" s="117"/>
      <c r="S4" s="121" t="s">
        <v>148</v>
      </c>
      <c r="T4" s="121" t="s">
        <v>78</v>
      </c>
      <c r="U4" s="122" t="n">
        <v>0.05</v>
      </c>
      <c r="V4" s="117"/>
      <c r="W4" s="123" t="n">
        <v>0.25</v>
      </c>
      <c r="X4" s="123" t="n">
        <v>0.25</v>
      </c>
      <c r="Y4" s="123" t="n">
        <v>0.25</v>
      </c>
      <c r="Z4" s="110"/>
      <c r="AC4" s="98" t="s">
        <v>151</v>
      </c>
    </row>
    <row r="5" customFormat="false" ht="12.75" hidden="false" customHeight="true" outlineLevel="0" collapsed="false">
      <c r="A5" s="111"/>
      <c r="B5" s="111"/>
      <c r="C5" s="112"/>
      <c r="D5" s="100"/>
      <c r="E5" s="111"/>
      <c r="F5" s="124" t="s">
        <v>152</v>
      </c>
      <c r="G5" s="125" t="s">
        <v>137</v>
      </c>
      <c r="H5" s="126" t="n">
        <f aca="false">+IF(E3=S4,R8,0)+IF(E3=S6,R8,0)+IF(E3=S8,V8,0)+IF(E3=S9,(R8-H6),0)</f>
        <v>0.6</v>
      </c>
      <c r="I5" s="102"/>
      <c r="Q5" s="117"/>
      <c r="R5" s="117" t="n">
        <f aca="false">+IF(E3=S4,IF(E2=T4,W4),0)+IF(E3=S4,IF(E2=T5,W5),0)+IF(E3=S6,IF(E2=T6,W4),0)+IF(E3=S6,IF(E2=T7,W7),0)+IF(E2=S10,U10,0)+IF(E3=S9,IF(E2=T4,W4,0))+IF(E3=S9,IF(E2=T5,W5,0))</f>
        <v>0.25</v>
      </c>
      <c r="S5" s="121"/>
      <c r="T5" s="121" t="s">
        <v>79</v>
      </c>
      <c r="U5" s="122" t="n">
        <v>0.05</v>
      </c>
      <c r="V5" s="117"/>
      <c r="W5" s="123" t="n">
        <v>0.3</v>
      </c>
      <c r="X5" s="123" t="n">
        <v>0.3</v>
      </c>
      <c r="Y5" s="123" t="n">
        <v>0.3</v>
      </c>
      <c r="Z5" s="110"/>
      <c r="AC5" s="98" t="s">
        <v>153</v>
      </c>
    </row>
    <row r="6" customFormat="false" ht="18" hidden="false" customHeight="true" outlineLevel="0" collapsed="false">
      <c r="A6" s="127" t="s">
        <v>154</v>
      </c>
      <c r="B6" s="128"/>
      <c r="C6" s="129"/>
      <c r="D6" s="100"/>
      <c r="E6" s="111"/>
      <c r="F6" s="124" t="s">
        <v>147</v>
      </c>
      <c r="G6" s="125" t="s">
        <v>137</v>
      </c>
      <c r="H6" s="130" t="n">
        <f aca="false">+IF(E3=S8,Z8,0)+IF(E3=S9,Z9,0)</f>
        <v>0.3</v>
      </c>
      <c r="I6" s="102"/>
      <c r="Q6" s="117"/>
      <c r="R6" s="117" t="n">
        <f aca="false">+IF(E3=S4,IF(E2=T4,X4),0)+IF(E3=S4,IF(E2=T5,X5),0)+IF(E3=S6,IF(E2=T6,X4),0)+IF(E3=S6,IF(E2=T7,X7),0)+IF(E3=S9,IF(E2=T4,W4,0))+IF(E3=S9,IF(E2=T5,X5,0))</f>
        <v>0.25</v>
      </c>
      <c r="S6" s="131" t="s">
        <v>151</v>
      </c>
      <c r="T6" s="131" t="s">
        <v>78</v>
      </c>
      <c r="U6" s="132" t="n">
        <v>0.1</v>
      </c>
      <c r="V6" s="117"/>
      <c r="W6" s="123" t="n">
        <v>0.25</v>
      </c>
      <c r="X6" s="123" t="n">
        <v>0.25</v>
      </c>
      <c r="Y6" s="123" t="n">
        <v>0.25</v>
      </c>
      <c r="Z6" s="110"/>
      <c r="AC6" s="98" t="s">
        <v>140</v>
      </c>
    </row>
    <row r="7" customFormat="false" ht="15.75" hidden="false" customHeight="true" outlineLevel="0" collapsed="false">
      <c r="A7" s="133" t="s">
        <v>155</v>
      </c>
      <c r="B7" s="134" t="n">
        <f aca="false">+SUM(B8:B9)</f>
        <v>0.1</v>
      </c>
      <c r="C7" s="135" t="n">
        <f aca="false">SUM(C8:C9)</f>
        <v>500000</v>
      </c>
      <c r="D7" s="100"/>
      <c r="E7" s="111"/>
      <c r="F7" s="136" t="s">
        <v>156</v>
      </c>
      <c r="G7" s="137" t="s">
        <v>142</v>
      </c>
      <c r="H7" s="138" t="n">
        <f aca="false">+IF(G7=$AC$11,$R$7,0)</f>
        <v>0</v>
      </c>
      <c r="I7" s="102"/>
      <c r="Q7" s="117" t="n">
        <f aca="false">+Y9-H3-H4-H7</f>
        <v>0</v>
      </c>
      <c r="R7" s="117" t="n">
        <f aca="false">+IF(E3=S4,IF(E2=T4,Y4),0)+IF(E3=S4,IF(E2=T5,Y5),0)+IF(E3=S6,IF(E2=T6,Y4),0)+IF(E3=S6,IF(E2=T7,Y7),0)+IF(E3=S9,IF(E2=T4,W4,0))+IF(E3=S9,IF(E2=T5,W5,0))</f>
        <v>0.25</v>
      </c>
      <c r="S7" s="131"/>
      <c r="T7" s="131" t="s">
        <v>79</v>
      </c>
      <c r="U7" s="132" t="n">
        <v>0.1</v>
      </c>
      <c r="V7" s="117"/>
      <c r="W7" s="123" t="n">
        <v>0.3</v>
      </c>
      <c r="X7" s="123" t="n">
        <v>0.3</v>
      </c>
      <c r="Y7" s="123" t="n">
        <v>0.3</v>
      </c>
      <c r="Z7" s="110"/>
    </row>
    <row r="8" customFormat="false" ht="14.25" hidden="false" customHeight="true" outlineLevel="0" collapsed="false">
      <c r="A8" s="139" t="s">
        <v>157</v>
      </c>
      <c r="B8" s="140" t="n">
        <f aca="false">+H2</f>
        <v>0.1</v>
      </c>
      <c r="C8" s="141" t="n">
        <f aca="false">B8*C4</f>
        <v>500000</v>
      </c>
      <c r="D8" s="100"/>
      <c r="I8" s="102"/>
      <c r="Q8" s="117" t="n">
        <f aca="false">+Q7</f>
        <v>0</v>
      </c>
      <c r="R8" s="117" t="n">
        <f aca="false">100%-H2-H3-H4</f>
        <v>0.9</v>
      </c>
      <c r="S8" s="99" t="s">
        <v>158</v>
      </c>
      <c r="T8" s="99"/>
      <c r="U8" s="117" t="n">
        <v>0.05</v>
      </c>
      <c r="V8" s="117" t="n">
        <v>0.25</v>
      </c>
      <c r="W8" s="109"/>
      <c r="X8" s="109"/>
      <c r="Y8" s="123"/>
      <c r="Z8" s="123" t="n">
        <v>0.7</v>
      </c>
      <c r="AC8" s="98" t="s">
        <v>78</v>
      </c>
    </row>
    <row r="9" customFormat="false" ht="14.25" hidden="false" customHeight="true" outlineLevel="0" collapsed="false">
      <c r="A9" s="139"/>
      <c r="B9" s="140"/>
      <c r="C9" s="141"/>
      <c r="D9" s="102"/>
      <c r="E9" s="142"/>
      <c r="F9" s="142"/>
      <c r="G9" s="143"/>
      <c r="H9" s="142"/>
      <c r="I9" s="102"/>
      <c r="Q9" s="144" t="n">
        <f aca="false">+R10</f>
        <v>0.3</v>
      </c>
      <c r="S9" s="145" t="s">
        <v>140</v>
      </c>
      <c r="U9" s="117" t="n">
        <v>0.05</v>
      </c>
      <c r="V9" s="117" t="n">
        <v>0.65</v>
      </c>
      <c r="W9" s="110"/>
      <c r="X9" s="110"/>
      <c r="Y9" s="123"/>
      <c r="Z9" s="123" t="n">
        <v>0.3</v>
      </c>
      <c r="AC9" s="98" t="s">
        <v>79</v>
      </c>
    </row>
    <row r="10" customFormat="false" ht="15.75" hidden="false" customHeight="true" outlineLevel="0" collapsed="false">
      <c r="A10" s="133" t="s">
        <v>159</v>
      </c>
      <c r="B10" s="134" t="n">
        <f aca="false">+SUM(B11:B13)</f>
        <v>0.3</v>
      </c>
      <c r="C10" s="135" t="n">
        <f aca="false">+SUM(C11:C13)</f>
        <v>1500000</v>
      </c>
      <c r="D10" s="100"/>
      <c r="E10" s="142"/>
      <c r="F10" s="142"/>
      <c r="G10" s="143"/>
      <c r="H10" s="142"/>
      <c r="I10" s="102"/>
      <c r="R10" s="144" t="n">
        <v>0.3</v>
      </c>
      <c r="S10" s="98" t="s">
        <v>139</v>
      </c>
      <c r="T10" s="121" t="s">
        <v>78</v>
      </c>
      <c r="U10" s="99" t="n">
        <v>0</v>
      </c>
      <c r="W10" s="110"/>
      <c r="X10" s="110"/>
      <c r="Y10" s="110"/>
      <c r="Z10" s="110"/>
    </row>
    <row r="11" customFormat="false" ht="14.25" hidden="false" customHeight="true" outlineLevel="0" collapsed="false">
      <c r="A11" s="139" t="s">
        <v>160</v>
      </c>
      <c r="B11" s="140" t="n">
        <f aca="false">C11/C4</f>
        <v>0</v>
      </c>
      <c r="C11" s="141" t="n">
        <f aca="false">IF((H3*$C$4)&lt;=1000000,(H3*$C$4),1000000)</f>
        <v>0</v>
      </c>
      <c r="D11" s="100"/>
      <c r="E11" s="142"/>
      <c r="F11" s="142"/>
      <c r="G11" s="143"/>
      <c r="H11" s="142"/>
      <c r="I11" s="102"/>
      <c r="T11" s="121" t="s">
        <v>79</v>
      </c>
      <c r="AC11" s="98" t="s">
        <v>161</v>
      </c>
    </row>
    <row r="12" customFormat="false" ht="14.25" hidden="false" customHeight="true" outlineLevel="0" collapsed="false">
      <c r="A12" s="139" t="s">
        <v>162</v>
      </c>
      <c r="B12" s="140" t="n">
        <f aca="false">+C12/C4</f>
        <v>0</v>
      </c>
      <c r="C12" s="141" t="n">
        <f aca="false">IF((H4*$C$4)&lt;=1000000,(H4*$C$4),1000000)</f>
        <v>0</v>
      </c>
      <c r="D12" s="100"/>
      <c r="E12" s="142"/>
      <c r="F12" s="142"/>
      <c r="G12" s="143"/>
      <c r="H12" s="142"/>
      <c r="I12" s="102"/>
      <c r="AC12" s="98" t="s">
        <v>142</v>
      </c>
    </row>
    <row r="13" customFormat="false" ht="14.25" hidden="false" customHeight="true" outlineLevel="0" collapsed="false">
      <c r="A13" s="139" t="s">
        <v>163</v>
      </c>
      <c r="B13" s="140" t="n">
        <f aca="false">+H6</f>
        <v>0.3</v>
      </c>
      <c r="C13" s="141" t="n">
        <f aca="false">B13*$C$4</f>
        <v>1500000</v>
      </c>
      <c r="D13" s="100"/>
      <c r="E13" s="142"/>
      <c r="F13" s="111"/>
      <c r="G13" s="146"/>
      <c r="H13" s="142"/>
      <c r="I13" s="102"/>
    </row>
    <row r="14" customFormat="false" ht="15.75" hidden="false" customHeight="true" outlineLevel="0" collapsed="false">
      <c r="A14" s="133" t="s">
        <v>164</v>
      </c>
      <c r="B14" s="134" t="n">
        <f aca="false">+B15</f>
        <v>0.6</v>
      </c>
      <c r="C14" s="135" t="n">
        <f aca="false">+C15</f>
        <v>3000000</v>
      </c>
      <c r="D14" s="147"/>
      <c r="E14" s="142"/>
      <c r="F14" s="111"/>
      <c r="G14" s="146"/>
      <c r="H14" s="142"/>
      <c r="I14" s="102"/>
      <c r="Q14" s="145"/>
      <c r="R14" s="145"/>
      <c r="AC14" s="98" t="s">
        <v>165</v>
      </c>
    </row>
    <row r="15" customFormat="false" ht="15" hidden="false" customHeight="true" outlineLevel="0" collapsed="false">
      <c r="A15" s="148" t="s">
        <v>166</v>
      </c>
      <c r="B15" s="149" t="n">
        <f aca="false">+H5</f>
        <v>0.6</v>
      </c>
      <c r="C15" s="150" t="n">
        <f aca="false">C4-C7-C10</f>
        <v>3000000</v>
      </c>
      <c r="D15" s="147"/>
      <c r="E15" s="142"/>
      <c r="F15" s="111"/>
      <c r="G15" s="146"/>
      <c r="H15" s="142"/>
      <c r="I15" s="102"/>
      <c r="Q15" s="145"/>
      <c r="R15" s="145"/>
      <c r="AC15" s="98" t="s">
        <v>167</v>
      </c>
    </row>
    <row r="16" customFormat="false" ht="18" hidden="false" customHeight="true" outlineLevel="0" collapsed="false">
      <c r="A16" s="151" t="s">
        <v>168</v>
      </c>
      <c r="B16" s="152"/>
      <c r="C16" s="153" t="b">
        <f aca="false">C4=C7+C10+C14</f>
        <v>1</v>
      </c>
      <c r="D16" s="100"/>
      <c r="E16" s="111"/>
      <c r="F16" s="111"/>
      <c r="G16" s="146"/>
      <c r="H16" s="111"/>
      <c r="I16" s="102"/>
      <c r="AC16" s="98" t="s">
        <v>169</v>
      </c>
    </row>
    <row r="17" customFormat="false" ht="14.25" hidden="false" customHeight="true" outlineLevel="0" collapsed="false">
      <c r="A17" s="154" t="s">
        <v>170</v>
      </c>
      <c r="B17" s="155" t="n">
        <f aca="false">+H7</f>
        <v>0</v>
      </c>
      <c r="C17" s="156" t="n">
        <f aca="false">IF((H7*$C$4)&lt;=1000000,(H7*$C$4),1000000)</f>
        <v>0</v>
      </c>
      <c r="D17" s="100"/>
      <c r="E17" s="142"/>
      <c r="F17" s="142"/>
      <c r="G17" s="143"/>
      <c r="H17" s="142"/>
      <c r="I17" s="102"/>
    </row>
    <row r="18" customFormat="false" ht="14.25" hidden="false" customHeight="true" outlineLevel="0" collapsed="false">
      <c r="A18" s="157" t="s">
        <v>171</v>
      </c>
      <c r="B18" s="158"/>
      <c r="C18" s="159"/>
      <c r="D18" s="100"/>
      <c r="E18" s="111"/>
      <c r="F18" s="111"/>
      <c r="G18" s="146"/>
      <c r="H18" s="111"/>
      <c r="I18" s="102"/>
    </row>
    <row r="19" customFormat="false" ht="14.25" hidden="false" customHeight="true" outlineLevel="0" collapsed="false">
      <c r="A19" s="160" t="s">
        <v>172</v>
      </c>
      <c r="B19" s="161" t="n">
        <v>36</v>
      </c>
      <c r="C19" s="162" t="s">
        <v>169</v>
      </c>
      <c r="D19" s="100"/>
      <c r="E19" s="111"/>
      <c r="F19" s="111"/>
      <c r="G19" s="146"/>
      <c r="H19" s="111"/>
      <c r="I19" s="102"/>
    </row>
    <row r="20" customFormat="false" ht="14.25" hidden="false" customHeight="true" outlineLevel="0" collapsed="false">
      <c r="A20" s="160" t="s">
        <v>173</v>
      </c>
      <c r="B20" s="163" t="n">
        <v>0.08</v>
      </c>
      <c r="C20" s="162" t="s">
        <v>165</v>
      </c>
      <c r="D20" s="100"/>
      <c r="E20" s="111"/>
      <c r="F20" s="111"/>
      <c r="G20" s="146"/>
      <c r="H20" s="111"/>
      <c r="I20" s="102"/>
    </row>
    <row r="21" customFormat="false" ht="14.25" hidden="false" customHeight="true" outlineLevel="0" collapsed="false">
      <c r="A21" s="160" t="s">
        <v>174</v>
      </c>
      <c r="B21" s="161" t="n">
        <v>3</v>
      </c>
      <c r="C21" s="162" t="s">
        <v>175</v>
      </c>
      <c r="D21" s="100"/>
      <c r="E21" s="111"/>
      <c r="F21" s="111"/>
      <c r="G21" s="146"/>
      <c r="H21" s="111"/>
      <c r="I21" s="102"/>
    </row>
    <row r="22" customFormat="false" ht="14.25" hidden="false" customHeight="true" outlineLevel="0" collapsed="false">
      <c r="A22" s="160" t="s">
        <v>176</v>
      </c>
      <c r="B22" s="161" t="n">
        <v>36</v>
      </c>
      <c r="C22" s="162" t="s">
        <v>175</v>
      </c>
      <c r="D22" s="100"/>
      <c r="E22" s="111"/>
      <c r="F22" s="111"/>
      <c r="G22" s="146"/>
      <c r="H22" s="111"/>
      <c r="I22" s="102"/>
    </row>
    <row r="23" customFormat="false" ht="15" hidden="false" customHeight="true" outlineLevel="0" collapsed="false">
      <c r="A23" s="164" t="s">
        <v>177</v>
      </c>
      <c r="B23" s="165" t="n">
        <v>0.17</v>
      </c>
      <c r="C23" s="166"/>
      <c r="D23" s="100"/>
      <c r="E23" s="111"/>
      <c r="F23" s="111"/>
      <c r="G23" s="146"/>
      <c r="H23" s="111"/>
      <c r="I23" s="102"/>
    </row>
    <row r="24" customFormat="false" ht="14.25" hidden="false" customHeight="true" outlineLevel="0" collapsed="false">
      <c r="A24" s="100"/>
      <c r="B24" s="100"/>
      <c r="C24" s="100"/>
      <c r="D24" s="100"/>
      <c r="E24" s="100"/>
      <c r="F24" s="100"/>
      <c r="G24" s="101"/>
      <c r="H24" s="100"/>
      <c r="I24" s="102"/>
    </row>
  </sheetData>
  <sheetProtection algorithmName="SHA-512" hashValue="sw56bkDVDPtkpOCUBee49WhTRyzh8eBmeLB7COpkd1WM87ya0GxBE5PyGTtLHwBuv2Jf2jKa11E0cOEjGX+KiA==" saltValue="ppffRpS0Eq7r2mPobOUYKg==" spinCount="100000" sheet="true" formatCells="false"/>
  <mergeCells count="1">
    <mergeCell ref="W2:Y2"/>
  </mergeCells>
  <conditionalFormatting sqref="C11:C12 C17">
    <cfRule type="cellIs" priority="2" operator="greaterThan" aboveAverage="0" equalAverage="0" bottom="0" percent="0" rank="0" text="" dxfId="0">
      <formula>1000000</formula>
    </cfRule>
  </conditionalFormatting>
  <dataValidations count="4">
    <dataValidation allowBlank="true" errorStyle="stop" operator="between" showDropDown="false" showErrorMessage="true" showInputMessage="true" sqref="E3" type="list">
      <formula1>$AC$3:$AC$6</formula1>
      <formula2>0</formula2>
    </dataValidation>
    <dataValidation allowBlank="true" errorStyle="stop" operator="between" showDropDown="false" showErrorMessage="true" showInputMessage="true" sqref="E2" type="list">
      <formula1>$AC$8:$AC$9</formula1>
      <formula2>0</formula2>
    </dataValidation>
    <dataValidation allowBlank="true" errorStyle="stop" operator="between" showDropDown="false" showErrorMessage="true" showInputMessage="true" sqref="G3:G4 G7" type="list">
      <formula1>$AC$11:$AC$12</formula1>
      <formula2>0</formula2>
    </dataValidation>
    <dataValidation allowBlank="true" errorStyle="stop" operator="between" showDropDown="false" showErrorMessage="true" showInputMessage="true" sqref="C19:C22" type="list">
      <formula1>$AC$14:$AC$16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6.18"/>
    <col collapsed="false" customWidth="true" hidden="false" outlineLevel="0" max="6" min="2" style="168" width="16.09"/>
    <col collapsed="false" customWidth="true" hidden="false" outlineLevel="0" max="7" min="7" style="167" width="3.45"/>
    <col collapsed="false" customWidth="true" hidden="false" outlineLevel="0" max="8" min="8" style="167" width="14.09"/>
    <col collapsed="false" customWidth="false" hidden="false" outlineLevel="0" max="9" min="9" style="167" width="11.45"/>
    <col collapsed="false" customWidth="true" hidden="false" outlineLevel="0" max="10" min="10" style="167" width="14.45"/>
    <col collapsed="false" customWidth="false" hidden="false" outlineLevel="0" max="16384" min="11" style="167" width="11.45"/>
  </cols>
  <sheetData>
    <row r="1" customFormat="false" ht="14.25" hidden="false" customHeight="true" outlineLevel="0" collapsed="false">
      <c r="A1" s="169"/>
      <c r="B1" s="170"/>
      <c r="C1" s="170"/>
      <c r="D1" s="170"/>
      <c r="E1" s="170"/>
      <c r="F1" s="170"/>
      <c r="G1" s="169"/>
    </row>
    <row r="2" customFormat="false" ht="20.25" hidden="false" customHeight="true" outlineLevel="0" collapsed="false">
      <c r="A2" s="103" t="s">
        <v>178</v>
      </c>
      <c r="B2" s="171"/>
      <c r="C2" s="171"/>
      <c r="D2" s="171"/>
      <c r="E2" s="171"/>
      <c r="F2" s="171"/>
      <c r="G2" s="169"/>
    </row>
    <row r="3" customFormat="false" ht="15" hidden="false" customHeight="true" outlineLevel="0" collapsed="false">
      <c r="A3" s="172"/>
      <c r="B3" s="173"/>
      <c r="C3" s="173"/>
      <c r="D3" s="173"/>
      <c r="E3" s="173"/>
      <c r="F3" s="173"/>
      <c r="G3" s="169"/>
    </row>
    <row r="4" customFormat="false" ht="18" hidden="false" customHeight="true" outlineLevel="0" collapsed="false">
      <c r="A4" s="118" t="s">
        <v>179</v>
      </c>
      <c r="B4" s="174"/>
      <c r="C4" s="174"/>
      <c r="D4" s="174"/>
      <c r="E4" s="174"/>
      <c r="F4" s="174"/>
      <c r="G4" s="169"/>
    </row>
    <row r="5" customFormat="false" ht="14.25" hidden="false" customHeight="true" outlineLevel="0" collapsed="false">
      <c r="A5" s="175" t="s">
        <v>180</v>
      </c>
      <c r="B5" s="176" t="n">
        <v>0</v>
      </c>
      <c r="C5" s="176" t="n">
        <v>0.02</v>
      </c>
      <c r="D5" s="176" t="n">
        <v>0.02</v>
      </c>
      <c r="E5" s="176" t="n">
        <v>0.02</v>
      </c>
      <c r="F5" s="176" t="n">
        <v>0.02</v>
      </c>
      <c r="G5" s="169"/>
    </row>
    <row r="6" customFormat="false" ht="15.75" hidden="false" customHeight="true" outlineLevel="0" collapsed="false">
      <c r="A6" s="177" t="s">
        <v>181</v>
      </c>
      <c r="B6" s="178" t="s">
        <v>182</v>
      </c>
      <c r="C6" s="178" t="s">
        <v>183</v>
      </c>
      <c r="D6" s="178" t="s">
        <v>184</v>
      </c>
      <c r="E6" s="178" t="s">
        <v>185</v>
      </c>
      <c r="F6" s="178" t="s">
        <v>186</v>
      </c>
      <c r="G6" s="169"/>
    </row>
    <row r="7" customFormat="false" ht="14.25" hidden="false" customHeight="true" outlineLevel="0" collapsed="false">
      <c r="A7" s="179" t="str">
        <f aca="false">+'Hypothèse de base'!A106</f>
        <v>Vente pastèque gros calibre</v>
      </c>
      <c r="B7" s="180" t="n">
        <f aca="false">+'Hypothèse de base'!I106</f>
        <v>5600000</v>
      </c>
      <c r="C7" s="180" t="n">
        <f aca="false">B7+(B7*$C$5)</f>
        <v>5712000</v>
      </c>
      <c r="D7" s="180" t="n">
        <f aca="false">C7+(C7*$D$5)</f>
        <v>5826240</v>
      </c>
      <c r="E7" s="180" t="n">
        <f aca="false">D7+(D7*$E$5)</f>
        <v>5942764.8</v>
      </c>
      <c r="F7" s="180" t="n">
        <f aca="false">E7+(E7*$F$5)</f>
        <v>6061620.096</v>
      </c>
      <c r="G7" s="169"/>
    </row>
    <row r="8" customFormat="false" ht="14.25" hidden="false" customHeight="true" outlineLevel="0" collapsed="false">
      <c r="A8" s="179" t="str">
        <f aca="false">+'Hypothèse de base'!A107</f>
        <v>Vente pastèque moyen calibre</v>
      </c>
      <c r="B8" s="180" t="n">
        <f aca="false">+'Hypothèse de base'!I107</f>
        <v>1800000</v>
      </c>
      <c r="C8" s="180" t="n">
        <f aca="false">B8+(B8*$C$5)</f>
        <v>1836000</v>
      </c>
      <c r="D8" s="180" t="n">
        <f aca="false">C8+(C8*$D$5)</f>
        <v>1872720</v>
      </c>
      <c r="E8" s="180" t="n">
        <f aca="false">D8+(D8*$E$5)</f>
        <v>1910174.4</v>
      </c>
      <c r="F8" s="180" t="n">
        <f aca="false">E8+(E8*$F$5)</f>
        <v>1948377.888</v>
      </c>
      <c r="G8" s="169"/>
    </row>
    <row r="9" customFormat="false" ht="14.25" hidden="false" customHeight="true" outlineLevel="0" collapsed="false">
      <c r="A9" s="179" t="n">
        <f aca="false">+'Hypothèse de base'!A108</f>
        <v>0</v>
      </c>
      <c r="B9" s="180" t="n">
        <f aca="false">+'Hypothèse de base'!I108</f>
        <v>0</v>
      </c>
      <c r="C9" s="180" t="n">
        <f aca="false">B9+(B9*$C$5)</f>
        <v>0</v>
      </c>
      <c r="D9" s="180" t="n">
        <f aca="false">C9+(C9*$D$5)</f>
        <v>0</v>
      </c>
      <c r="E9" s="180" t="n">
        <f aca="false">D9+(D9*$E$5)</f>
        <v>0</v>
      </c>
      <c r="F9" s="180" t="n">
        <f aca="false">E9+(E9*$F$5)</f>
        <v>0</v>
      </c>
      <c r="G9" s="169"/>
    </row>
    <row r="10" customFormat="false" ht="14.25" hidden="false" customHeight="true" outlineLevel="0" collapsed="false">
      <c r="A10" s="179" t="n">
        <f aca="false">+'Hypothèse de base'!A109</f>
        <v>0</v>
      </c>
      <c r="B10" s="180" t="n">
        <f aca="false">+'Hypothèse de base'!I109</f>
        <v>0</v>
      </c>
      <c r="C10" s="180" t="n">
        <f aca="false">B10+(B10*$C$5)</f>
        <v>0</v>
      </c>
      <c r="D10" s="181" t="n">
        <f aca="false">C10+(C10*$D$5)</f>
        <v>0</v>
      </c>
      <c r="E10" s="181" t="n">
        <f aca="false">D10+(D10*$E$5)</f>
        <v>0</v>
      </c>
      <c r="F10" s="181" t="n">
        <f aca="false">E10+(E10*$F$5)</f>
        <v>0</v>
      </c>
      <c r="G10" s="169"/>
    </row>
    <row r="11" customFormat="false" ht="14.25" hidden="false" customHeight="true" outlineLevel="0" collapsed="false">
      <c r="A11" s="179" t="n">
        <f aca="false">+'Hypothèse de base'!A113</f>
        <v>0</v>
      </c>
      <c r="B11" s="180" t="n">
        <f aca="false">+'Hypothèse de base'!I113</f>
        <v>0</v>
      </c>
      <c r="C11" s="180" t="n">
        <f aca="false">B11+(B11*$C$5)</f>
        <v>0</v>
      </c>
      <c r="D11" s="181" t="n">
        <f aca="false">C11+(C11*$D$5)</f>
        <v>0</v>
      </c>
      <c r="E11" s="181" t="n">
        <f aca="false">D11+(D11*$E$5)</f>
        <v>0</v>
      </c>
      <c r="F11" s="181" t="n">
        <f aca="false">E11+(E11*$F$5)</f>
        <v>0</v>
      </c>
      <c r="G11" s="169"/>
    </row>
    <row r="12" customFormat="false" ht="14.25" hidden="false" customHeight="true" outlineLevel="0" collapsed="false">
      <c r="A12" s="182" t="s">
        <v>187</v>
      </c>
      <c r="B12" s="183" t="n">
        <f aca="false">SUM(B7:B11)</f>
        <v>7400000</v>
      </c>
      <c r="C12" s="183" t="n">
        <f aca="false">SUM(C7:C11)</f>
        <v>7548000</v>
      </c>
      <c r="D12" s="183" t="n">
        <f aca="false">SUM(D7:D11)</f>
        <v>7698960</v>
      </c>
      <c r="E12" s="183" t="n">
        <f aca="false">SUM(E7:E11)</f>
        <v>7852939.2</v>
      </c>
      <c r="F12" s="183" t="n">
        <f aca="false">SUM(F7:F11)</f>
        <v>8009997.984</v>
      </c>
      <c r="G12" s="169"/>
    </row>
    <row r="13" customFormat="false" ht="15" hidden="false" customHeight="true" outlineLevel="0" collapsed="false">
      <c r="A13" s="172"/>
      <c r="B13" s="173"/>
      <c r="C13" s="173"/>
      <c r="D13" s="173"/>
      <c r="E13" s="173"/>
      <c r="F13" s="173"/>
      <c r="G13" s="169"/>
    </row>
    <row r="14" customFormat="false" ht="18" hidden="false" customHeight="true" outlineLevel="0" collapsed="false">
      <c r="A14" s="118" t="s">
        <v>188</v>
      </c>
      <c r="B14" s="174"/>
      <c r="C14" s="174"/>
      <c r="D14" s="174"/>
      <c r="E14" s="174"/>
      <c r="F14" s="174"/>
      <c r="G14" s="169"/>
    </row>
    <row r="15" customFormat="false" ht="14.25" hidden="false" customHeight="true" outlineLevel="0" collapsed="false">
      <c r="A15" s="172"/>
      <c r="B15" s="173"/>
      <c r="C15" s="173"/>
      <c r="D15" s="173"/>
      <c r="E15" s="173"/>
      <c r="F15" s="173"/>
      <c r="G15" s="169"/>
    </row>
    <row r="16" customFormat="false" ht="15.75" hidden="false" customHeight="true" outlineLevel="0" collapsed="false">
      <c r="A16" s="184" t="s">
        <v>189</v>
      </c>
      <c r="B16" s="176" t="n">
        <v>0</v>
      </c>
      <c r="C16" s="176" t="n">
        <v>0.06</v>
      </c>
      <c r="D16" s="176" t="n">
        <v>0.08</v>
      </c>
      <c r="E16" s="176" t="n">
        <f aca="false">D16</f>
        <v>0.08</v>
      </c>
      <c r="F16" s="176" t="n">
        <f aca="false">E16</f>
        <v>0.08</v>
      </c>
      <c r="G16" s="169"/>
    </row>
    <row r="17" customFormat="false" ht="15.75" hidden="false" customHeight="true" outlineLevel="0" collapsed="false">
      <c r="A17" s="177" t="s">
        <v>181</v>
      </c>
      <c r="B17" s="178" t="s">
        <v>182</v>
      </c>
      <c r="C17" s="178" t="s">
        <v>183</v>
      </c>
      <c r="D17" s="178" t="s">
        <v>184</v>
      </c>
      <c r="E17" s="178" t="s">
        <v>185</v>
      </c>
      <c r="F17" s="178" t="s">
        <v>186</v>
      </c>
      <c r="G17" s="169"/>
      <c r="J17" s="185"/>
    </row>
    <row r="18" customFormat="false" ht="14.25" hidden="false" customHeight="true" outlineLevel="0" collapsed="false">
      <c r="A18" s="179" t="str">
        <f aca="false">+'Hypothèse de base'!A7</f>
        <v>Semence pastèque</v>
      </c>
      <c r="B18" s="180" t="n">
        <f aca="false">+'Hypothèse de base'!I7+'Hypothèse de base'!I18</f>
        <v>720000</v>
      </c>
      <c r="C18" s="180" t="n">
        <f aca="false">B18+(B18*$C$16)</f>
        <v>763200</v>
      </c>
      <c r="D18" s="180" t="n">
        <f aca="false">C18+(C18*$D$16)</f>
        <v>824256</v>
      </c>
      <c r="E18" s="180" t="n">
        <f aca="false">D18+(D18*$E$16)</f>
        <v>890196.48</v>
      </c>
      <c r="F18" s="180" t="n">
        <f aca="false">E18+(E18*$F$16)</f>
        <v>961412.1984</v>
      </c>
      <c r="G18" s="169"/>
      <c r="J18" s="186"/>
    </row>
    <row r="19" customFormat="false" ht="14.25" hidden="false" customHeight="true" outlineLevel="0" collapsed="false">
      <c r="A19" s="179" t="str">
        <f aca="false">+'Hypothèse de base'!A8</f>
        <v>Engrais NPK 50 kg</v>
      </c>
      <c r="B19" s="180" t="n">
        <f aca="false">+'Hypothèse de base'!I8+'Hypothèse de base'!I19</f>
        <v>550000</v>
      </c>
      <c r="C19" s="181" t="n">
        <f aca="false">B19+(B19*$C$16)</f>
        <v>583000</v>
      </c>
      <c r="D19" s="181" t="n">
        <f aca="false">C19+(C19*$D$16)</f>
        <v>629640</v>
      </c>
      <c r="E19" s="181" t="n">
        <f aca="false">D19+(D19*$E$16)</f>
        <v>680011.2</v>
      </c>
      <c r="F19" s="181" t="n">
        <f aca="false">E19+(E19*$F$16)</f>
        <v>734412.096</v>
      </c>
      <c r="G19" s="169"/>
    </row>
    <row r="20" customFormat="false" ht="14.25" hidden="false" customHeight="true" outlineLevel="0" collapsed="false">
      <c r="A20" s="179" t="str">
        <f aca="false">+'Hypothèse de base'!A9</f>
        <v>Intrant Urée 50 kg</v>
      </c>
      <c r="B20" s="180" t="n">
        <f aca="false">+'Hypothèse de base'!I9+'Hypothèse de base'!I20</f>
        <v>230000</v>
      </c>
      <c r="C20" s="181" t="n">
        <f aca="false">B20+(B20*$C$16)</f>
        <v>243800</v>
      </c>
      <c r="D20" s="181" t="n">
        <f aca="false">C20+(C20*$D$16)</f>
        <v>263304</v>
      </c>
      <c r="E20" s="181" t="n">
        <f aca="false">D20+(D20*$E$16)</f>
        <v>284368.32</v>
      </c>
      <c r="F20" s="181" t="n">
        <f aca="false">E20+(E20*$F$16)</f>
        <v>307117.7856</v>
      </c>
      <c r="G20" s="169"/>
    </row>
    <row r="21" customFormat="false" ht="15" hidden="false" customHeight="true" outlineLevel="0" collapsed="false">
      <c r="A21" s="179" t="str">
        <f aca="false">+'Hypothèse de base'!A10</f>
        <v>Fongicide + insecticide</v>
      </c>
      <c r="B21" s="180" t="n">
        <f aca="false">+'Hypothèse de base'!I10+'Hypothèse de base'!I21</f>
        <v>360000</v>
      </c>
      <c r="C21" s="181" t="n">
        <f aca="false">B21+(B21*$C$16)</f>
        <v>381600</v>
      </c>
      <c r="D21" s="181" t="n">
        <f aca="false">C21+(C21*$D$16)</f>
        <v>412128</v>
      </c>
      <c r="E21" s="181" t="n">
        <f aca="false">D21+(D21*$E$16)</f>
        <v>445098.24</v>
      </c>
      <c r="F21" s="181" t="n">
        <f aca="false">E21+(E21*$F$16)</f>
        <v>480706.0992</v>
      </c>
      <c r="G21" s="169"/>
    </row>
    <row r="22" customFormat="false" ht="15" hidden="false" customHeight="true" outlineLevel="0" collapsed="false">
      <c r="A22" s="179" t="str">
        <f aca="false">+'Hypothèse de base'!A11</f>
        <v>Fumure organique</v>
      </c>
      <c r="B22" s="180" t="n">
        <f aca="false">+'Hypothèse de base'!I11+'Hypothèse de base'!I22</f>
        <v>60000</v>
      </c>
      <c r="C22" s="181" t="n">
        <f aca="false">B22+(B22*$C$16)</f>
        <v>63600</v>
      </c>
      <c r="D22" s="181" t="n">
        <f aca="false">C22+(C22*$D$16)</f>
        <v>68688</v>
      </c>
      <c r="E22" s="181" t="n">
        <f aca="false">D22+(D22*$E$16)</f>
        <v>74183.04</v>
      </c>
      <c r="F22" s="181" t="n">
        <f aca="false">E22+(E22*$F$16)</f>
        <v>80117.6832</v>
      </c>
      <c r="G22" s="169"/>
    </row>
    <row r="23" customFormat="false" ht="15" hidden="false" customHeight="true" outlineLevel="0" collapsed="false">
      <c r="A23" s="179" t="n">
        <f aca="false">+'Hypothèse de base'!A12</f>
        <v>0</v>
      </c>
      <c r="B23" s="180" t="n">
        <f aca="false">+'Hypothèse de base'!I12</f>
        <v>0</v>
      </c>
      <c r="C23" s="181" t="n">
        <f aca="false">B23+(B23*$C$16)</f>
        <v>0</v>
      </c>
      <c r="D23" s="181" t="n">
        <f aca="false">C23+(C23*$D$16)</f>
        <v>0</v>
      </c>
      <c r="E23" s="181" t="n">
        <f aca="false">D23+(D23*$E$16)</f>
        <v>0</v>
      </c>
      <c r="F23" s="181" t="n">
        <f aca="false">E23+(E23*$F$16)</f>
        <v>0</v>
      </c>
      <c r="G23" s="169"/>
    </row>
    <row r="24" customFormat="false" ht="16.5" hidden="false" customHeight="true" outlineLevel="0" collapsed="false">
      <c r="A24" s="182" t="s">
        <v>190</v>
      </c>
      <c r="B24" s="183" t="n">
        <f aca="false">SUM(B18:B23)</f>
        <v>1920000</v>
      </c>
      <c r="C24" s="183" t="n">
        <f aca="false">SUM(C18:C23)</f>
        <v>2035200</v>
      </c>
      <c r="D24" s="183" t="n">
        <f aca="false">SUM(D18:D23)</f>
        <v>2198016</v>
      </c>
      <c r="E24" s="183" t="n">
        <f aca="false">SUM(E18:E23)</f>
        <v>2373857.28</v>
      </c>
      <c r="F24" s="183" t="n">
        <f aca="false">SUM(F18:F23)</f>
        <v>2563765.8624</v>
      </c>
      <c r="G24" s="169"/>
    </row>
    <row r="25" customFormat="false" ht="14.25" hidden="false" customHeight="true" outlineLevel="0" collapsed="false">
      <c r="A25" s="172"/>
      <c r="B25" s="173"/>
      <c r="C25" s="173"/>
      <c r="D25" s="173"/>
      <c r="E25" s="173"/>
      <c r="F25" s="173"/>
      <c r="G25" s="169"/>
    </row>
    <row r="26" customFormat="false" ht="15.75" hidden="false" customHeight="true" outlineLevel="0" collapsed="false">
      <c r="A26" s="184" t="s">
        <v>191</v>
      </c>
      <c r="B26" s="176" t="n">
        <v>0</v>
      </c>
      <c r="C26" s="176" t="n">
        <v>0.05</v>
      </c>
      <c r="D26" s="176" t="n">
        <v>0</v>
      </c>
      <c r="E26" s="176" t="n">
        <v>0</v>
      </c>
      <c r="F26" s="176" t="n">
        <f aca="false">E26</f>
        <v>0</v>
      </c>
      <c r="G26" s="169"/>
    </row>
    <row r="27" customFormat="false" ht="15.75" hidden="false" customHeight="true" outlineLevel="0" collapsed="false">
      <c r="A27" s="187" t="s">
        <v>181</v>
      </c>
      <c r="B27" s="188" t="s">
        <v>182</v>
      </c>
      <c r="C27" s="188" t="s">
        <v>183</v>
      </c>
      <c r="D27" s="188" t="s">
        <v>184</v>
      </c>
      <c r="E27" s="188" t="s">
        <v>185</v>
      </c>
      <c r="F27" s="188" t="s">
        <v>186</v>
      </c>
      <c r="G27" s="169"/>
    </row>
    <row r="28" customFormat="false" ht="14.25" hidden="false" customHeight="true" outlineLevel="0" collapsed="false">
      <c r="A28" s="179" t="s">
        <v>192</v>
      </c>
      <c r="B28" s="181" t="n">
        <f aca="false">+'Hypothèse de base'!H38</f>
        <v>2100000</v>
      </c>
      <c r="C28" s="181" t="n">
        <f aca="false">B28+(B28*$C$26)</f>
        <v>2205000</v>
      </c>
      <c r="D28" s="181" t="n">
        <f aca="false">C28+(C28*$D$26)</f>
        <v>2205000</v>
      </c>
      <c r="E28" s="181" t="n">
        <f aca="false">D28+(D28*$E$26)</f>
        <v>2205000</v>
      </c>
      <c r="F28" s="181" t="n">
        <f aca="false">E28+(E28*$F$26)</f>
        <v>2205000</v>
      </c>
      <c r="G28" s="169"/>
    </row>
    <row r="29" customFormat="false" ht="14.25" hidden="false" customHeight="true" outlineLevel="0" collapsed="false">
      <c r="A29" s="179"/>
      <c r="B29" s="181"/>
      <c r="C29" s="181" t="n">
        <f aca="false">+B29</f>
        <v>0</v>
      </c>
      <c r="D29" s="181" t="n">
        <f aca="false">+C29*1.05</f>
        <v>0</v>
      </c>
      <c r="E29" s="181" t="n">
        <f aca="false">+D29</f>
        <v>0</v>
      </c>
      <c r="F29" s="181" t="n">
        <f aca="false">+E29*1.05</f>
        <v>0</v>
      </c>
      <c r="G29" s="169"/>
    </row>
    <row r="30" customFormat="false" ht="14.25" hidden="false" customHeight="true" outlineLevel="0" collapsed="false">
      <c r="A30" s="182" t="s">
        <v>193</v>
      </c>
      <c r="B30" s="183" t="n">
        <f aca="false">SUM(B28:B29)</f>
        <v>2100000</v>
      </c>
      <c r="C30" s="183" t="n">
        <f aca="false">SUM(C28:C29)</f>
        <v>2205000</v>
      </c>
      <c r="D30" s="183" t="n">
        <f aca="false">SUM(D28:D29)</f>
        <v>2205000</v>
      </c>
      <c r="E30" s="183" t="n">
        <f aca="false">SUM(E28:E29)</f>
        <v>2205000</v>
      </c>
      <c r="F30" s="183" t="n">
        <f aca="false">SUM(F28:F29)</f>
        <v>2205000</v>
      </c>
      <c r="G30" s="169"/>
    </row>
    <row r="31" customFormat="false" ht="14.25" hidden="false" customHeight="true" outlineLevel="0" collapsed="false">
      <c r="A31" s="172"/>
      <c r="B31" s="173"/>
      <c r="C31" s="173"/>
      <c r="D31" s="173"/>
      <c r="E31" s="173"/>
      <c r="F31" s="173"/>
      <c r="G31" s="169"/>
    </row>
    <row r="32" customFormat="false" ht="15.75" hidden="false" customHeight="true" outlineLevel="0" collapsed="false">
      <c r="A32" s="184" t="s">
        <v>194</v>
      </c>
      <c r="B32" s="189"/>
      <c r="C32" s="189"/>
      <c r="D32" s="189"/>
      <c r="E32" s="189"/>
      <c r="F32" s="189"/>
      <c r="G32" s="169"/>
    </row>
    <row r="33" customFormat="false" ht="15.75" hidden="false" customHeight="true" outlineLevel="0" collapsed="false">
      <c r="A33" s="187" t="s">
        <v>181</v>
      </c>
      <c r="B33" s="188" t="s">
        <v>182</v>
      </c>
      <c r="C33" s="188" t="s">
        <v>183</v>
      </c>
      <c r="D33" s="188" t="s">
        <v>184</v>
      </c>
      <c r="E33" s="188" t="s">
        <v>185</v>
      </c>
      <c r="F33" s="188" t="s">
        <v>186</v>
      </c>
      <c r="G33" s="169"/>
      <c r="H33" s="190"/>
      <c r="I33" s="190"/>
    </row>
    <row r="34" customFormat="false" ht="14.25" hidden="false" customHeight="true" outlineLevel="0" collapsed="false">
      <c r="A34" s="179" t="s">
        <v>195</v>
      </c>
      <c r="B34" s="191" t="n">
        <f aca="false">0.5%*B30</f>
        <v>10500</v>
      </c>
      <c r="C34" s="191" t="n">
        <f aca="false">0.5%*C30</f>
        <v>11025</v>
      </c>
      <c r="D34" s="191" t="n">
        <f aca="false">0.5%*D30</f>
        <v>11025</v>
      </c>
      <c r="E34" s="191" t="n">
        <f aca="false">0.5%*E30</f>
        <v>11025</v>
      </c>
      <c r="F34" s="191" t="n">
        <f aca="false">0.5%*F30</f>
        <v>11025</v>
      </c>
      <c r="G34" s="192"/>
      <c r="H34" s="190"/>
      <c r="I34" s="190"/>
    </row>
    <row r="35" customFormat="false" ht="14.25" hidden="false" customHeight="true" outlineLevel="0" collapsed="false">
      <c r="A35" s="179" t="s">
        <v>196</v>
      </c>
      <c r="B35" s="191" t="n">
        <f aca="false">7.5%*B30</f>
        <v>157500</v>
      </c>
      <c r="C35" s="191" t="n">
        <f aca="false">7.5%*C30</f>
        <v>165375</v>
      </c>
      <c r="D35" s="191" t="n">
        <f aca="false">7.5%*D30</f>
        <v>165375</v>
      </c>
      <c r="E35" s="191" t="n">
        <f aca="false">7.5%*E30</f>
        <v>165375</v>
      </c>
      <c r="F35" s="191" t="n">
        <f aca="false">7.5%*F30</f>
        <v>165375</v>
      </c>
      <c r="G35" s="192"/>
      <c r="H35" s="190"/>
      <c r="I35" s="190"/>
    </row>
    <row r="36" customFormat="false" ht="14.25" hidden="false" customHeight="true" outlineLevel="0" collapsed="false">
      <c r="A36" s="179" t="s">
        <v>197</v>
      </c>
      <c r="B36" s="191" t="n">
        <f aca="false">+B30*1%</f>
        <v>21000</v>
      </c>
      <c r="C36" s="191" t="n">
        <f aca="false">+C30*1%</f>
        <v>22050</v>
      </c>
      <c r="D36" s="191" t="n">
        <f aca="false">+D30*1%</f>
        <v>22050</v>
      </c>
      <c r="E36" s="191" t="n">
        <f aca="false">+E30*1%</f>
        <v>22050</v>
      </c>
      <c r="F36" s="191" t="n">
        <f aca="false">+F30*1%</f>
        <v>22050</v>
      </c>
      <c r="G36" s="192"/>
      <c r="H36" s="190"/>
      <c r="I36" s="190"/>
    </row>
    <row r="37" customFormat="false" ht="27" hidden="false" customHeight="true" outlineLevel="0" collapsed="false">
      <c r="A37" s="193" t="s">
        <v>198</v>
      </c>
      <c r="B37" s="191"/>
      <c r="C37" s="191" t="n">
        <f aca="false">+B37</f>
        <v>0</v>
      </c>
      <c r="D37" s="191" t="n">
        <f aca="false">+C37</f>
        <v>0</v>
      </c>
      <c r="E37" s="191" t="n">
        <f aca="false">+D37</f>
        <v>0</v>
      </c>
      <c r="F37" s="191" t="n">
        <f aca="false">+E37</f>
        <v>0</v>
      </c>
      <c r="G37" s="192"/>
      <c r="H37" s="190"/>
      <c r="I37" s="190"/>
    </row>
    <row r="38" customFormat="false" ht="14.25" hidden="false" customHeight="true" outlineLevel="0" collapsed="false">
      <c r="A38" s="182" t="s">
        <v>190</v>
      </c>
      <c r="B38" s="194" t="n">
        <f aca="false">SUM(B34:B37)</f>
        <v>189000</v>
      </c>
      <c r="C38" s="194" t="n">
        <f aca="false">SUM(C34:C37)</f>
        <v>198450</v>
      </c>
      <c r="D38" s="194" t="n">
        <f aca="false">SUM(D34:D37)</f>
        <v>198450</v>
      </c>
      <c r="E38" s="194" t="n">
        <f aca="false">SUM(E34:E37)</f>
        <v>198450</v>
      </c>
      <c r="F38" s="194" t="n">
        <f aca="false">SUM(F34:F37)</f>
        <v>198450</v>
      </c>
      <c r="G38" s="169"/>
      <c r="H38" s="190"/>
      <c r="I38" s="190"/>
    </row>
    <row r="39" customFormat="false" ht="14.25" hidden="false" customHeight="true" outlineLevel="0" collapsed="false">
      <c r="A39" s="172"/>
      <c r="B39" s="173"/>
      <c r="C39" s="173"/>
      <c r="D39" s="173"/>
      <c r="E39" s="173"/>
      <c r="F39" s="173"/>
      <c r="G39" s="169"/>
    </row>
    <row r="40" customFormat="false" ht="15.75" hidden="false" customHeight="true" outlineLevel="0" collapsed="false">
      <c r="A40" s="184" t="s">
        <v>199</v>
      </c>
      <c r="B40" s="189"/>
      <c r="C40" s="189"/>
      <c r="D40" s="189"/>
      <c r="E40" s="189"/>
      <c r="F40" s="189"/>
      <c r="G40" s="169"/>
    </row>
    <row r="41" customFormat="false" ht="15.75" hidden="false" customHeight="true" outlineLevel="0" collapsed="false">
      <c r="A41" s="187" t="s">
        <v>181</v>
      </c>
      <c r="B41" s="188" t="s">
        <v>182</v>
      </c>
      <c r="C41" s="188" t="s">
        <v>183</v>
      </c>
      <c r="D41" s="188" t="s">
        <v>184</v>
      </c>
      <c r="E41" s="188" t="s">
        <v>185</v>
      </c>
      <c r="F41" s="188" t="s">
        <v>186</v>
      </c>
      <c r="G41" s="169"/>
    </row>
    <row r="42" customFormat="false" ht="14.25" hidden="false" customHeight="true" outlineLevel="0" collapsed="false">
      <c r="A42" s="195" t="str">
        <f aca="false">+'Hypothèse de base'!A91</f>
        <v>Transports / déplacements</v>
      </c>
      <c r="B42" s="181" t="n">
        <f aca="false">+'Hypothèse de base'!F91</f>
        <v>450000</v>
      </c>
      <c r="C42" s="181" t="n">
        <f aca="false">B42+(B42*$C$26)</f>
        <v>472500</v>
      </c>
      <c r="D42" s="181" t="n">
        <f aca="false">C42+(C42*$D$26)</f>
        <v>472500</v>
      </c>
      <c r="E42" s="181" t="n">
        <f aca="false">D42+(D42*$E$26)</f>
        <v>472500</v>
      </c>
      <c r="F42" s="181" t="n">
        <f aca="false">E42+(E42*$F$26)</f>
        <v>472500</v>
      </c>
      <c r="G42" s="169"/>
    </row>
    <row r="43" customFormat="false" ht="14.25" hidden="false" customHeight="true" outlineLevel="0" collapsed="false">
      <c r="A43" s="195" t="n">
        <f aca="false">+'Hypothèse de base'!A92</f>
        <v>0</v>
      </c>
      <c r="B43" s="181" t="n">
        <f aca="false">+'Hypothèse de base'!F92</f>
        <v>0</v>
      </c>
      <c r="C43" s="181" t="n">
        <f aca="false">B43+(B43*$C$26)</f>
        <v>0</v>
      </c>
      <c r="D43" s="181" t="n">
        <f aca="false">C43+(C43*$D$26)</f>
        <v>0</v>
      </c>
      <c r="E43" s="181" t="n">
        <f aca="false">D43+(D43*$E$26)</f>
        <v>0</v>
      </c>
      <c r="F43" s="181" t="n">
        <f aca="false">E43+(E43*$F$26)</f>
        <v>0</v>
      </c>
      <c r="G43" s="169"/>
    </row>
    <row r="44" customFormat="false" ht="14.25" hidden="false" customHeight="true" outlineLevel="0" collapsed="false">
      <c r="A44" s="195" t="n">
        <f aca="false">+'Hypothèse de base'!A93</f>
        <v>0</v>
      </c>
      <c r="B44" s="181" t="n">
        <f aca="false">+'Hypothèse de base'!F93</f>
        <v>0</v>
      </c>
      <c r="C44" s="181" t="n">
        <f aca="false">B44+(B44*$C$26)</f>
        <v>0</v>
      </c>
      <c r="D44" s="181" t="n">
        <f aca="false">C44+(C44*$D$26)</f>
        <v>0</v>
      </c>
      <c r="E44" s="181" t="n">
        <f aca="false">D44+(D44*$E$26)</f>
        <v>0</v>
      </c>
      <c r="F44" s="181" t="n">
        <f aca="false">E44+(E44*$F$26)</f>
        <v>0</v>
      </c>
      <c r="G44" s="169"/>
    </row>
    <row r="45" customFormat="false" ht="14.25" hidden="false" customHeight="true" outlineLevel="0" collapsed="false">
      <c r="A45" s="195" t="n">
        <f aca="false">+'Hypothèse de base'!A94</f>
        <v>0</v>
      </c>
      <c r="B45" s="181" t="n">
        <f aca="false">+'Hypothèse de base'!F94</f>
        <v>0</v>
      </c>
      <c r="C45" s="181" t="n">
        <f aca="false">B45+(B45*$C$26)</f>
        <v>0</v>
      </c>
      <c r="D45" s="181" t="n">
        <f aca="false">C45+(C45*$D$26)</f>
        <v>0</v>
      </c>
      <c r="E45" s="181" t="n">
        <f aca="false">D45+(D45*$E$26)</f>
        <v>0</v>
      </c>
      <c r="F45" s="181" t="n">
        <f aca="false">E45+(E45*$F$26)</f>
        <v>0</v>
      </c>
      <c r="G45" s="169"/>
    </row>
    <row r="46" customFormat="false" ht="14.25" hidden="false" customHeight="true" outlineLevel="0" collapsed="false">
      <c r="A46" s="195" t="n">
        <f aca="false">+'Hypothèse de base'!A95</f>
        <v>0</v>
      </c>
      <c r="B46" s="181" t="n">
        <f aca="false">+'Hypothèse de base'!F95</f>
        <v>0</v>
      </c>
      <c r="C46" s="181" t="n">
        <f aca="false">B46+(B46*$C$26)</f>
        <v>0</v>
      </c>
      <c r="D46" s="181" t="n">
        <f aca="false">C46+(C46*$D$26)</f>
        <v>0</v>
      </c>
      <c r="E46" s="181" t="n">
        <f aca="false">D46+(D46*$E$26)</f>
        <v>0</v>
      </c>
      <c r="F46" s="181" t="n">
        <f aca="false">E46+(E46*$F$26)</f>
        <v>0</v>
      </c>
      <c r="G46" s="169"/>
    </row>
    <row r="47" customFormat="false" ht="14.25" hidden="false" customHeight="true" outlineLevel="0" collapsed="false">
      <c r="A47" s="195" t="n">
        <f aca="false">+'Hypothèse de base'!A96</f>
        <v>0</v>
      </c>
      <c r="B47" s="181" t="n">
        <f aca="false">+'Hypothèse de base'!F96</f>
        <v>0</v>
      </c>
      <c r="C47" s="181" t="n">
        <f aca="false">B47+(B47*$C$26)</f>
        <v>0</v>
      </c>
      <c r="D47" s="181" t="n">
        <f aca="false">C47+(C47*$D$26)</f>
        <v>0</v>
      </c>
      <c r="E47" s="181" t="n">
        <f aca="false">D47+(D47*$E$26)</f>
        <v>0</v>
      </c>
      <c r="F47" s="181" t="n">
        <f aca="false">E47+(E47*$F$26)</f>
        <v>0</v>
      </c>
      <c r="G47" s="169"/>
    </row>
    <row r="48" customFormat="false" ht="14.25" hidden="false" customHeight="true" outlineLevel="0" collapsed="false">
      <c r="A48" s="195" t="n">
        <f aca="false">+'Hypothèse de base'!A97</f>
        <v>0</v>
      </c>
      <c r="B48" s="181" t="n">
        <f aca="false">+'Hypothèse de base'!F97</f>
        <v>0</v>
      </c>
      <c r="C48" s="181" t="n">
        <f aca="false">B48+(B48*$C$26)</f>
        <v>0</v>
      </c>
      <c r="D48" s="181" t="n">
        <f aca="false">C48+(C48*$D$26)</f>
        <v>0</v>
      </c>
      <c r="E48" s="181" t="n">
        <f aca="false">D48+(D48*$E$26)</f>
        <v>0</v>
      </c>
      <c r="F48" s="181" t="n">
        <f aca="false">E48+(E48*$F$26)</f>
        <v>0</v>
      </c>
      <c r="G48" s="169"/>
    </row>
    <row r="49" customFormat="false" ht="14.25" hidden="false" customHeight="true" outlineLevel="0" collapsed="false">
      <c r="A49" s="182" t="s">
        <v>190</v>
      </c>
      <c r="B49" s="183" t="n">
        <f aca="false">SUM(B42:B48)</f>
        <v>450000</v>
      </c>
      <c r="C49" s="183" t="n">
        <f aca="false">SUM(C42:C48)</f>
        <v>472500</v>
      </c>
      <c r="D49" s="183" t="n">
        <f aca="false">SUM(D42:D48)</f>
        <v>472500</v>
      </c>
      <c r="E49" s="183" t="n">
        <f aca="false">SUM(E42:E48)</f>
        <v>472500</v>
      </c>
      <c r="F49" s="183" t="n">
        <f aca="false">SUM(F42:F48)</f>
        <v>472500</v>
      </c>
      <c r="G49" s="169"/>
    </row>
    <row r="50" customFormat="false" ht="14.25" hidden="false" customHeight="true" outlineLevel="0" collapsed="false">
      <c r="A50" s="172"/>
      <c r="B50" s="173"/>
      <c r="C50" s="173"/>
      <c r="D50" s="173"/>
      <c r="E50" s="173"/>
      <c r="F50" s="173"/>
      <c r="G50" s="169"/>
    </row>
    <row r="51" customFormat="false" ht="14.25" hidden="false" customHeight="true" outlineLevel="0" collapsed="false">
      <c r="A51" s="172"/>
      <c r="B51" s="173"/>
      <c r="C51" s="173"/>
      <c r="D51" s="173"/>
      <c r="E51" s="173"/>
      <c r="F51" s="173"/>
      <c r="G51" s="169"/>
    </row>
    <row r="52" customFormat="false" ht="15.75" hidden="false" customHeight="true" outlineLevel="0" collapsed="false">
      <c r="A52" s="184" t="s">
        <v>200</v>
      </c>
      <c r="B52" s="189"/>
      <c r="C52" s="189"/>
      <c r="D52" s="189"/>
      <c r="E52" s="189"/>
      <c r="F52" s="189"/>
      <c r="G52" s="169"/>
    </row>
    <row r="53" customFormat="false" ht="15.75" hidden="false" customHeight="true" outlineLevel="0" collapsed="false">
      <c r="A53" s="187" t="s">
        <v>181</v>
      </c>
      <c r="B53" s="188" t="s">
        <v>182</v>
      </c>
      <c r="C53" s="188" t="s">
        <v>183</v>
      </c>
      <c r="D53" s="188" t="s">
        <v>184</v>
      </c>
      <c r="E53" s="188" t="s">
        <v>185</v>
      </c>
      <c r="F53" s="188" t="s">
        <v>186</v>
      </c>
      <c r="G53" s="169"/>
    </row>
    <row r="54" customFormat="false" ht="14.25" hidden="false" customHeight="true" outlineLevel="0" collapsed="false">
      <c r="A54" s="196"/>
      <c r="B54" s="181"/>
      <c r="C54" s="181" t="n">
        <f aca="false">B54+(B54*$C$26)</f>
        <v>0</v>
      </c>
      <c r="D54" s="181" t="n">
        <f aca="false">C54+(C54*$C$26)</f>
        <v>0</v>
      </c>
      <c r="E54" s="181" t="n">
        <f aca="false">D54+(D54*$C$26)</f>
        <v>0</v>
      </c>
      <c r="F54" s="181" t="n">
        <f aca="false">E54+(E54*$C$26)</f>
        <v>0</v>
      </c>
      <c r="G54" s="169"/>
    </row>
    <row r="55" customFormat="false" ht="14.25" hidden="false" customHeight="true" outlineLevel="0" collapsed="false">
      <c r="A55" s="196"/>
      <c r="B55" s="181"/>
      <c r="C55" s="181" t="n">
        <f aca="false">B55+(B55*$C$26)</f>
        <v>0</v>
      </c>
      <c r="D55" s="181" t="n">
        <f aca="false">C55+(C55*$C$26)</f>
        <v>0</v>
      </c>
      <c r="E55" s="181" t="n">
        <f aca="false">D55+(D55*$C$26)</f>
        <v>0</v>
      </c>
      <c r="F55" s="181" t="n">
        <f aca="false">E55+(E55*$C$26)</f>
        <v>0</v>
      </c>
      <c r="G55" s="169"/>
    </row>
    <row r="56" customFormat="false" ht="14.25" hidden="false" customHeight="true" outlineLevel="0" collapsed="false">
      <c r="A56" s="196"/>
      <c r="B56" s="181"/>
      <c r="C56" s="181" t="n">
        <f aca="false">B56+(B56*$C$26)</f>
        <v>0</v>
      </c>
      <c r="D56" s="181" t="n">
        <f aca="false">C56+(C56*$C$26)</f>
        <v>0</v>
      </c>
      <c r="E56" s="181" t="n">
        <f aca="false">D56+(D56*$C$26)</f>
        <v>0</v>
      </c>
      <c r="F56" s="181" t="n">
        <f aca="false">E56+(E56*$C$26)</f>
        <v>0</v>
      </c>
      <c r="G56" s="169"/>
    </row>
    <row r="57" customFormat="false" ht="14.25" hidden="true" customHeight="true" outlineLevel="0" collapsed="false">
      <c r="A57" s="196"/>
      <c r="B57" s="181"/>
      <c r="C57" s="181"/>
      <c r="D57" s="181"/>
      <c r="E57" s="181"/>
      <c r="F57" s="181"/>
      <c r="G57" s="169"/>
    </row>
    <row r="58" customFormat="false" ht="14.25" hidden="true" customHeight="true" outlineLevel="0" collapsed="false">
      <c r="A58" s="196"/>
      <c r="B58" s="181"/>
      <c r="C58" s="181"/>
      <c r="D58" s="181"/>
      <c r="E58" s="181"/>
      <c r="F58" s="181"/>
      <c r="G58" s="169"/>
    </row>
    <row r="59" customFormat="false" ht="14.25" hidden="true" customHeight="true" outlineLevel="0" collapsed="false">
      <c r="A59" s="196"/>
      <c r="B59" s="181"/>
      <c r="C59" s="181"/>
      <c r="D59" s="181"/>
      <c r="E59" s="181"/>
      <c r="F59" s="181"/>
      <c r="G59" s="169"/>
    </row>
    <row r="60" customFormat="false" ht="14.25" hidden="true" customHeight="true" outlineLevel="0" collapsed="false">
      <c r="A60" s="196"/>
      <c r="B60" s="181"/>
      <c r="C60" s="181"/>
      <c r="D60" s="181"/>
      <c r="E60" s="181"/>
      <c r="F60" s="181"/>
      <c r="G60" s="169"/>
    </row>
    <row r="61" customFormat="false" ht="14.25" hidden="true" customHeight="true" outlineLevel="0" collapsed="false">
      <c r="A61" s="196"/>
      <c r="B61" s="181"/>
      <c r="C61" s="181"/>
      <c r="D61" s="181"/>
      <c r="E61" s="181"/>
      <c r="F61" s="181"/>
      <c r="G61" s="169"/>
    </row>
    <row r="62" customFormat="false" ht="14.25" hidden="false" customHeight="true" outlineLevel="0" collapsed="false">
      <c r="A62" s="182" t="s">
        <v>190</v>
      </c>
      <c r="B62" s="183" t="n">
        <f aca="false">SUM(B54:B61)</f>
        <v>0</v>
      </c>
      <c r="C62" s="183" t="n">
        <f aca="false">SUM(C54:C61)</f>
        <v>0</v>
      </c>
      <c r="D62" s="183" t="n">
        <f aca="false">SUM(D54:D61)</f>
        <v>0</v>
      </c>
      <c r="E62" s="183" t="n">
        <f aca="false">SUM(E54:E61)</f>
        <v>0</v>
      </c>
      <c r="F62" s="183" t="n">
        <f aca="false">SUM(F54:F61)</f>
        <v>0</v>
      </c>
      <c r="G62" s="169"/>
    </row>
    <row r="63" customFormat="false" ht="14.25" hidden="false" customHeight="true" outlineLevel="0" collapsed="false">
      <c r="A63" s="172"/>
      <c r="B63" s="173"/>
      <c r="C63" s="173"/>
      <c r="D63" s="173"/>
      <c r="E63" s="173"/>
      <c r="F63" s="173"/>
      <c r="G63" s="169"/>
    </row>
    <row r="64" customFormat="false" ht="15.75" hidden="false" customHeight="true" outlineLevel="0" collapsed="false">
      <c r="A64" s="184" t="s">
        <v>201</v>
      </c>
      <c r="B64" s="189"/>
      <c r="C64" s="189"/>
      <c r="D64" s="189"/>
      <c r="E64" s="189"/>
      <c r="F64" s="189"/>
      <c r="G64" s="169"/>
    </row>
    <row r="65" customFormat="false" ht="15.75" hidden="false" customHeight="true" outlineLevel="0" collapsed="false">
      <c r="A65" s="177" t="s">
        <v>181</v>
      </c>
      <c r="B65" s="178" t="s">
        <v>56</v>
      </c>
      <c r="C65" s="178" t="s">
        <v>202</v>
      </c>
      <c r="D65" s="178" t="s">
        <v>203</v>
      </c>
      <c r="E65" s="178" t="s">
        <v>183</v>
      </c>
      <c r="F65" s="178" t="s">
        <v>184</v>
      </c>
      <c r="G65" s="178" t="s">
        <v>185</v>
      </c>
      <c r="H65" s="178" t="s">
        <v>186</v>
      </c>
    </row>
    <row r="66" customFormat="false" ht="14.25" hidden="false" customHeight="true" outlineLevel="0" collapsed="false">
      <c r="A66" s="197" t="s">
        <v>204</v>
      </c>
      <c r="B66" s="198" t="n">
        <f aca="false">+'Coût du projet'!C4</f>
        <v>15000</v>
      </c>
      <c r="C66" s="199" t="n">
        <v>1</v>
      </c>
      <c r="D66" s="181" t="n">
        <f aca="false">+B66*C66</f>
        <v>15000</v>
      </c>
      <c r="E66" s="181"/>
      <c r="F66" s="181"/>
      <c r="G66" s="181" t="n">
        <f aca="false">IFERROR(MAX(0,MIN($B66*$C66,$B66-$B66*$C66*3)),0)</f>
        <v>0</v>
      </c>
      <c r="H66" s="181" t="n">
        <f aca="false">IFERROR(MAX(0,MIN($B66*$C66,$B66-$B66*$C66*4)),0)</f>
        <v>0</v>
      </c>
    </row>
    <row r="67" customFormat="false" ht="14.25" hidden="false" customHeight="true" outlineLevel="0" collapsed="false">
      <c r="A67" s="200" t="str">
        <f aca="false">+'Coût du projet'!A12</f>
        <v>2.1 Constructions</v>
      </c>
      <c r="B67" s="200"/>
      <c r="C67" s="200"/>
      <c r="D67" s="200"/>
      <c r="E67" s="200"/>
      <c r="F67" s="200"/>
      <c r="G67" s="200" t="n">
        <f aca="false">IFERROR(MAX(0,MIN($B67*$C67,$B67-$B67*$C67*3)),0)</f>
        <v>0</v>
      </c>
      <c r="H67" s="200" t="n">
        <f aca="false">IFERROR(MAX(0,MIN($B67*$C67,$B67-$B67*$C67*4)),0)</f>
        <v>0</v>
      </c>
    </row>
    <row r="68" customFormat="false" ht="14.25" hidden="false" customHeight="true" outlineLevel="0" collapsed="false">
      <c r="A68" s="197" t="n">
        <f aca="false">+'Coût du projet'!A13</f>
        <v>0</v>
      </c>
      <c r="B68" s="198" t="n">
        <f aca="false">+'Coût du projet'!B13</f>
        <v>0</v>
      </c>
      <c r="C68" s="201" t="n">
        <v>0.2</v>
      </c>
      <c r="D68" s="181" t="n">
        <f aca="false">+B68*C68</f>
        <v>0</v>
      </c>
      <c r="E68" s="181" t="n">
        <f aca="false">D68</f>
        <v>0</v>
      </c>
      <c r="F68" s="181" t="n">
        <f aca="false">E68</f>
        <v>0</v>
      </c>
      <c r="G68" s="181" t="n">
        <f aca="false">IFERROR(MAX(0,MIN($B68*$C68,$B68-$B68*$C68*3)),0)</f>
        <v>0</v>
      </c>
      <c r="H68" s="181" t="n">
        <f aca="false">IFERROR(MAX(0,MIN($B68*$C68,$B68-$B68*$C68*4)),0)</f>
        <v>0</v>
      </c>
    </row>
    <row r="69" customFormat="false" ht="14.25" hidden="false" customHeight="true" outlineLevel="0" collapsed="false">
      <c r="A69" s="197" t="n">
        <f aca="false">+'Coût du projet'!A14</f>
        <v>0</v>
      </c>
      <c r="B69" s="198" t="n">
        <f aca="false">+'Coût du projet'!B14</f>
        <v>0</v>
      </c>
      <c r="C69" s="201" t="n">
        <v>0.05</v>
      </c>
      <c r="D69" s="181" t="n">
        <f aca="false">+B69*C69</f>
        <v>0</v>
      </c>
      <c r="E69" s="181" t="n">
        <f aca="false">D69</f>
        <v>0</v>
      </c>
      <c r="F69" s="181" t="n">
        <f aca="false">E69</f>
        <v>0</v>
      </c>
      <c r="G69" s="181" t="n">
        <f aca="false">IFERROR(MAX(0,MIN($B69*$C69,$B69-$B69*$C69*3)),0)</f>
        <v>0</v>
      </c>
      <c r="H69" s="181" t="n">
        <f aca="false">IFERROR(MAX(0,MIN($B69*$C69,$B69-$B69*$C69*4)),0)</f>
        <v>0</v>
      </c>
    </row>
    <row r="70" customFormat="false" ht="14.25" hidden="false" customHeight="true" outlineLevel="0" collapsed="false">
      <c r="A70" s="197" t="n">
        <f aca="false">+'Coût du projet'!A15</f>
        <v>0</v>
      </c>
      <c r="B70" s="198" t="n">
        <f aca="false">+'Coût du projet'!B15</f>
        <v>0</v>
      </c>
      <c r="C70" s="201" t="n">
        <v>0.2</v>
      </c>
      <c r="D70" s="181" t="n">
        <f aca="false">+B70*C70</f>
        <v>0</v>
      </c>
      <c r="E70" s="181" t="n">
        <f aca="false">D70</f>
        <v>0</v>
      </c>
      <c r="F70" s="181" t="n">
        <f aca="false">E70</f>
        <v>0</v>
      </c>
      <c r="G70" s="181" t="n">
        <f aca="false">IFERROR(MAX(0,MIN($B70*$C70,$B70-$B70*$C70*3)),0)</f>
        <v>0</v>
      </c>
      <c r="H70" s="181" t="n">
        <f aca="false">IFERROR(MAX(0,MIN($B70*$C70,$B70-$B70*$C70*4)),0)</f>
        <v>0</v>
      </c>
    </row>
    <row r="71" customFormat="false" ht="14.25" hidden="false" customHeight="true" outlineLevel="0" collapsed="false">
      <c r="A71" s="197" t="n">
        <f aca="false">+'Coût du projet'!A18</f>
        <v>0</v>
      </c>
      <c r="B71" s="198" t="n">
        <v>0</v>
      </c>
      <c r="C71" s="201"/>
      <c r="D71" s="181" t="n">
        <f aca="false">+B71*C71</f>
        <v>0</v>
      </c>
      <c r="E71" s="181" t="n">
        <f aca="false">D71</f>
        <v>0</v>
      </c>
      <c r="F71" s="181" t="n">
        <f aca="false">E71</f>
        <v>0</v>
      </c>
      <c r="G71" s="181" t="n">
        <f aca="false">IFERROR(MAX(0,MIN($B71*$C71,$B71-$B71*$C71*3)),0)</f>
        <v>0</v>
      </c>
      <c r="H71" s="181" t="n">
        <f aca="false">IFERROR(MAX(0,MIN($B71*$C71,$B71-$B71*$C71*4)),0)</f>
        <v>0</v>
      </c>
    </row>
    <row r="72" customFormat="false" ht="14.25" hidden="false" customHeight="true" outlineLevel="0" collapsed="false">
      <c r="A72" s="200" t="str">
        <f aca="false">+'Coût du projet'!A19</f>
        <v>2.2 Agencement-Aménagement-Installations</v>
      </c>
      <c r="B72" s="202"/>
      <c r="C72" s="203"/>
      <c r="D72" s="204" t="n">
        <f aca="false">+B72*C72</f>
        <v>0</v>
      </c>
      <c r="E72" s="204" t="n">
        <f aca="false">D72</f>
        <v>0</v>
      </c>
      <c r="F72" s="204" t="n">
        <f aca="false">E72</f>
        <v>0</v>
      </c>
      <c r="G72" s="204" t="n">
        <f aca="false">IFERROR(MAX(0,MIN($B72*$C72,$B72-$B72*$C72*3)),0)</f>
        <v>0</v>
      </c>
      <c r="H72" s="204" t="n">
        <f aca="false">IFERROR(MAX(0,MIN($B72*$C72,$B72-$B72*$C72*4)),0)</f>
        <v>0</v>
      </c>
    </row>
    <row r="73" customFormat="false" ht="14.25" hidden="false" customHeight="true" outlineLevel="0" collapsed="false">
      <c r="A73" s="197" t="str">
        <f aca="false">+'Coût du projet'!A20</f>
        <v>Aménagement préparatoire</v>
      </c>
      <c r="B73" s="197" t="n">
        <f aca="false">+'Coût du projet'!B20</f>
        <v>45000</v>
      </c>
      <c r="C73" s="201" t="n">
        <v>0.25</v>
      </c>
      <c r="D73" s="181" t="n">
        <f aca="false">+B73*C73</f>
        <v>11250</v>
      </c>
      <c r="E73" s="181" t="n">
        <f aca="false">D73</f>
        <v>11250</v>
      </c>
      <c r="F73" s="181" t="n">
        <f aca="false">E73</f>
        <v>11250</v>
      </c>
      <c r="G73" s="181" t="n">
        <f aca="false">IFERROR(MAX(0,MIN($B73*$C73,$B73-$B73*$C73*3)),0)</f>
        <v>11250</v>
      </c>
      <c r="H73" s="181" t="n">
        <f aca="false">IFERROR(MAX(0,MIN($B73*$C73,$B73-$B73*$C73*4)),0)</f>
        <v>0</v>
      </c>
    </row>
    <row r="74" customFormat="false" ht="14.25" hidden="false" customHeight="true" outlineLevel="0" collapsed="false">
      <c r="A74" s="197" t="str">
        <f aca="false">+'Coût du projet'!A21</f>
        <v>Formation des billons</v>
      </c>
      <c r="B74" s="197" t="n">
        <f aca="false">+'Coût du projet'!B21</f>
        <v>60000</v>
      </c>
      <c r="C74" s="201" t="n">
        <v>0.25</v>
      </c>
      <c r="D74" s="181" t="n">
        <f aca="false">+B74*C74</f>
        <v>15000</v>
      </c>
      <c r="E74" s="181" t="n">
        <f aca="false">D74</f>
        <v>15000</v>
      </c>
      <c r="F74" s="181" t="n">
        <f aca="false">E74</f>
        <v>15000</v>
      </c>
      <c r="G74" s="181" t="n">
        <f aca="false">IFERROR(MAX(0,MIN($B74*$C74,$B74-$B74*$C74*3)),0)</f>
        <v>15000</v>
      </c>
      <c r="H74" s="181" t="n">
        <f aca="false">IFERROR(MAX(0,MIN($B74*$C74,$B74-$B74*$C74*4)),0)</f>
        <v>0</v>
      </c>
    </row>
    <row r="75" customFormat="false" ht="14.25" hidden="false" customHeight="true" outlineLevel="0" collapsed="false">
      <c r="A75" s="197" t="str">
        <f aca="false">+'Coût du projet'!A22</f>
        <v>Système goutte-à-goutte</v>
      </c>
      <c r="B75" s="197" t="n">
        <f aca="false">+'Coût du projet'!B22</f>
        <v>750000</v>
      </c>
      <c r="C75" s="201" t="n">
        <v>0.25</v>
      </c>
      <c r="D75" s="181" t="n">
        <f aca="false">+B75*C75</f>
        <v>187500</v>
      </c>
      <c r="E75" s="181" t="n">
        <f aca="false">D75</f>
        <v>187500</v>
      </c>
      <c r="F75" s="181" t="n">
        <f aca="false">E75</f>
        <v>187500</v>
      </c>
      <c r="G75" s="181" t="n">
        <f aca="false">IFERROR(MAX(0,MIN($B75*$C75,$B75-$B75*$C75*3)),0)</f>
        <v>187500</v>
      </c>
      <c r="H75" s="181" t="n">
        <f aca="false">IFERROR(MAX(0,MIN($B75*$C75,$B75-$B75*$C75*4)),0)</f>
        <v>0</v>
      </c>
    </row>
    <row r="76" customFormat="false" ht="14.25" hidden="false" customHeight="true" outlineLevel="0" collapsed="false">
      <c r="A76" s="197" t="str">
        <f aca="false">+'Coût du projet'!A23</f>
        <v>Clôture en grillage 0,75 ha</v>
      </c>
      <c r="B76" s="197" t="n">
        <f aca="false">+'Coût du projet'!B23</f>
        <v>1000000</v>
      </c>
      <c r="C76" s="201" t="n">
        <v>0.25</v>
      </c>
      <c r="D76" s="181" t="n">
        <f aca="false">+B76*C76</f>
        <v>250000</v>
      </c>
      <c r="E76" s="181" t="n">
        <f aca="false">D76</f>
        <v>250000</v>
      </c>
      <c r="F76" s="181" t="n">
        <f aca="false">E76</f>
        <v>250000</v>
      </c>
      <c r="G76" s="181" t="n">
        <f aca="false">IFERROR(MAX(0,MIN($B76*$C76,$B76-$B76*$C76*3)),0)</f>
        <v>250000</v>
      </c>
      <c r="H76" s="181" t="n">
        <f aca="false">IFERROR(MAX(0,MIN($B76*$C76,$B76-$B76*$C76*4)),0)</f>
        <v>0</v>
      </c>
    </row>
    <row r="77" customFormat="false" ht="14.25" hidden="false" customHeight="true" outlineLevel="0" collapsed="false">
      <c r="A77" s="197" t="str">
        <f aca="false">+'Coût du projet'!A24</f>
        <v>Bassin 40 m³</v>
      </c>
      <c r="B77" s="197" t="n">
        <f aca="false">+'Coût du projet'!B24</f>
        <v>250000</v>
      </c>
      <c r="C77" s="201" t="n">
        <v>0.25</v>
      </c>
      <c r="D77" s="181" t="n">
        <f aca="false">+B77*C77</f>
        <v>62500</v>
      </c>
      <c r="E77" s="181" t="n">
        <f aca="false">D77</f>
        <v>62500</v>
      </c>
      <c r="F77" s="181" t="n">
        <f aca="false">E77</f>
        <v>62500</v>
      </c>
      <c r="G77" s="181" t="n">
        <f aca="false">IFERROR(MAX(0,MIN($B77*$C77,$B77-$B77*$C77*3)),0)</f>
        <v>62500</v>
      </c>
      <c r="H77" s="181" t="n">
        <f aca="false">IFERROR(MAX(0,MIN($B77*$C77,$B77-$B77*$C77*4)),0)</f>
        <v>0</v>
      </c>
    </row>
    <row r="78" customFormat="false" ht="14.25" hidden="false" customHeight="true" outlineLevel="0" collapsed="false">
      <c r="A78" s="197" t="str">
        <f aca="false">+'Coût du projet'!A25</f>
        <v>Puits à grand diamètre</v>
      </c>
      <c r="B78" s="197" t="n">
        <f aca="false">+'Coût du projet'!B25</f>
        <v>980000</v>
      </c>
      <c r="C78" s="201" t="n">
        <v>0.25</v>
      </c>
      <c r="D78" s="181" t="n">
        <f aca="false">+B78*C78</f>
        <v>245000</v>
      </c>
      <c r="E78" s="181" t="n">
        <f aca="false">D78</f>
        <v>245000</v>
      </c>
      <c r="F78" s="181" t="n">
        <f aca="false">E78</f>
        <v>245000</v>
      </c>
      <c r="G78" s="181" t="n">
        <f aca="false">IFERROR(MAX(0,MIN($B78*$C78,$B78-$B78*$C78*3)),0)</f>
        <v>245000</v>
      </c>
      <c r="H78" s="181" t="n">
        <f aca="false">IFERROR(MAX(0,MIN($B78*$C78,$B78-$B78*$C78*4)),0)</f>
        <v>0</v>
      </c>
    </row>
    <row r="79" customFormat="false" ht="14.25" hidden="false" customHeight="true" outlineLevel="0" collapsed="false">
      <c r="A79" s="197" t="n">
        <f aca="false">+'Coût du projet'!A26</f>
        <v>0</v>
      </c>
      <c r="B79" s="197" t="n">
        <f aca="false">+'Coût du projet'!B26</f>
        <v>0</v>
      </c>
      <c r="C79" s="201" t="n">
        <v>0.25</v>
      </c>
      <c r="D79" s="181" t="n">
        <f aca="false">+B79*C79</f>
        <v>0</v>
      </c>
      <c r="E79" s="181" t="n">
        <f aca="false">D79</f>
        <v>0</v>
      </c>
      <c r="F79" s="181" t="n">
        <f aca="false">E79</f>
        <v>0</v>
      </c>
      <c r="G79" s="181" t="n">
        <f aca="false">IFERROR(MAX(0,MIN($B79*$C79,$B79-$B79*$C79*3)),0)</f>
        <v>0</v>
      </c>
      <c r="H79" s="181" t="n">
        <f aca="false">IFERROR(MAX(0,MIN($B79*$C79,$B79-$B79*$C79*4)),0)</f>
        <v>0</v>
      </c>
    </row>
    <row r="80" customFormat="false" ht="14.25" hidden="false" customHeight="true" outlineLevel="0" collapsed="false">
      <c r="A80" s="197" t="n">
        <f aca="false">+'Coût du projet'!A27</f>
        <v>0</v>
      </c>
      <c r="B80" s="197" t="n">
        <f aca="false">+'Coût du projet'!B27</f>
        <v>0</v>
      </c>
      <c r="C80" s="201" t="n">
        <v>0.25</v>
      </c>
      <c r="D80" s="181" t="n">
        <f aca="false">+B80*C80</f>
        <v>0</v>
      </c>
      <c r="E80" s="181" t="n">
        <f aca="false">D80</f>
        <v>0</v>
      </c>
      <c r="F80" s="181" t="n">
        <f aca="false">E80</f>
        <v>0</v>
      </c>
      <c r="G80" s="181" t="n">
        <f aca="false">IFERROR(MAX(0,MIN($B80*$C80,$B80-$B80*$C80*3)),0)</f>
        <v>0</v>
      </c>
      <c r="H80" s="181" t="n">
        <f aca="false">IFERROR(MAX(0,MIN($B80*$C80,$B80-$B80*$C80*4)),0)</f>
        <v>0</v>
      </c>
    </row>
    <row r="81" customFormat="false" ht="14.25" hidden="false" customHeight="true" outlineLevel="0" collapsed="false">
      <c r="A81" s="200" t="str">
        <f aca="false">+'Coût du projet'!A28</f>
        <v>2.3	Mobiliers et matériels</v>
      </c>
      <c r="B81" s="202" t="n">
        <f aca="false">+'Coût du projet'!A46:B46</f>
        <v>0</v>
      </c>
      <c r="C81" s="203"/>
      <c r="D81" s="204" t="n">
        <f aca="false">+B81*C81</f>
        <v>0</v>
      </c>
      <c r="E81" s="204" t="n">
        <f aca="false">D81</f>
        <v>0</v>
      </c>
      <c r="F81" s="204" t="n">
        <f aca="false">E81</f>
        <v>0</v>
      </c>
      <c r="G81" s="204" t="n">
        <f aca="false">IFERROR(MAX(0,MIN($B81*$C81,$B81-$B81*$C81*3)),0)</f>
        <v>0</v>
      </c>
      <c r="H81" s="204" t="n">
        <f aca="false">IFERROR(MAX(0,MIN($B81*$C81,$B81-$B81*$C81*4)),0)</f>
        <v>0</v>
      </c>
    </row>
    <row r="82" customFormat="false" ht="14.25" hidden="false" customHeight="true" outlineLevel="0" collapsed="false">
      <c r="A82" s="197" t="str">
        <f aca="false">+'Coût du projet'!A29</f>
        <v>Balance</v>
      </c>
      <c r="B82" s="197" t="n">
        <f aca="false">+'Coût du projet'!B29</f>
        <v>20000</v>
      </c>
      <c r="C82" s="201" t="n">
        <v>0.333333333333333</v>
      </c>
      <c r="D82" s="181" t="n">
        <f aca="false">+B82*C82</f>
        <v>6666.66666666666</v>
      </c>
      <c r="E82" s="181" t="n">
        <f aca="false">D82</f>
        <v>6666.66666666666</v>
      </c>
      <c r="F82" s="181" t="n">
        <f aca="false">E82</f>
        <v>6666.66666666666</v>
      </c>
      <c r="G82" s="181" t="n">
        <f aca="false">IFERROR(MAX(0,MIN($B82*$C82,$B82-$B82*$C82*3)),0)</f>
        <v>0</v>
      </c>
      <c r="H82" s="181" t="n">
        <f aca="false">IFERROR(MAX(0,MIN($B82*$C82,$B82-$B82*$C82*4)),0)</f>
        <v>0</v>
      </c>
    </row>
    <row r="83" customFormat="false" ht="14.25" hidden="false" customHeight="true" outlineLevel="0" collapsed="false">
      <c r="A83" s="197" t="n">
        <f aca="false">+'Coût du projet'!A30</f>
        <v>0</v>
      </c>
      <c r="B83" s="197" t="n">
        <f aca="false">+'Coût du projet'!B30</f>
        <v>0</v>
      </c>
      <c r="C83" s="201" t="n">
        <v>0.333333333333333</v>
      </c>
      <c r="D83" s="181" t="n">
        <f aca="false">+B83*C83</f>
        <v>0</v>
      </c>
      <c r="E83" s="181" t="n">
        <f aca="false">D83</f>
        <v>0</v>
      </c>
      <c r="F83" s="181" t="n">
        <f aca="false">E83</f>
        <v>0</v>
      </c>
      <c r="G83" s="181" t="n">
        <f aca="false">IFERROR(MAX(0,MIN($B83*$C83,$B83-$B83*$C83*3)),0)</f>
        <v>0</v>
      </c>
      <c r="H83" s="181" t="n">
        <f aca="false">IFERROR(MAX(0,MIN($B83*$C83,$B83-$B83*$C83*4)),0)</f>
        <v>0</v>
      </c>
    </row>
    <row r="84" customFormat="false" ht="14.25" hidden="false" customHeight="true" outlineLevel="0" collapsed="false">
      <c r="A84" s="197" t="n">
        <f aca="false">+'Coût du projet'!A32</f>
        <v>0</v>
      </c>
      <c r="B84" s="197" t="n">
        <f aca="false">+'Coût du projet'!B32</f>
        <v>0</v>
      </c>
      <c r="C84" s="201" t="n">
        <v>0.333333333333333</v>
      </c>
      <c r="D84" s="181" t="n">
        <f aca="false">+B84*C84</f>
        <v>0</v>
      </c>
      <c r="E84" s="181" t="n">
        <f aca="false">D84</f>
        <v>0</v>
      </c>
      <c r="F84" s="181" t="n">
        <f aca="false">E84</f>
        <v>0</v>
      </c>
      <c r="G84" s="181" t="n">
        <f aca="false">IFERROR(MAX(0,MIN($B84*$C84,$B84-$B84*$C84*3)),0)</f>
        <v>0</v>
      </c>
      <c r="H84" s="181" t="n">
        <f aca="false">IFERROR(MAX(0,MIN($B84*$C84,$B84-$B84*$C84*4)),0)</f>
        <v>0</v>
      </c>
    </row>
    <row r="85" customFormat="false" ht="14.25" hidden="false" customHeight="true" outlineLevel="0" collapsed="false">
      <c r="A85" s="197" t="n">
        <f aca="false">+'Coût du projet'!A33</f>
        <v>0</v>
      </c>
      <c r="B85" s="197" t="n">
        <f aca="false">+'Coût du projet'!B33</f>
        <v>0</v>
      </c>
      <c r="C85" s="201" t="n">
        <v>0.333333333333333</v>
      </c>
      <c r="D85" s="181" t="n">
        <f aca="false">+B85*C85</f>
        <v>0</v>
      </c>
      <c r="E85" s="181" t="n">
        <f aca="false">D85</f>
        <v>0</v>
      </c>
      <c r="F85" s="181" t="n">
        <f aca="false">E85</f>
        <v>0</v>
      </c>
      <c r="G85" s="181" t="n">
        <f aca="false">IFERROR(MAX(0,MIN($B85*$C85,$B85-$B85*$C85*3)),0)</f>
        <v>0</v>
      </c>
      <c r="H85" s="181" t="n">
        <f aca="false">IFERROR(MAX(0,MIN($B85*$C85,$B85-$B85*$C85*4)),0)</f>
        <v>0</v>
      </c>
    </row>
    <row r="86" customFormat="false" ht="14.25" hidden="false" customHeight="true" outlineLevel="0" collapsed="false">
      <c r="A86" s="200" t="str">
        <f aca="false">+'Coût du projet'!A34</f>
        <v>2.4 Equipements de production</v>
      </c>
      <c r="B86" s="202"/>
      <c r="C86" s="203"/>
      <c r="D86" s="204" t="n">
        <f aca="false">+B86*C86</f>
        <v>0</v>
      </c>
      <c r="E86" s="204" t="n">
        <f aca="false">D86</f>
        <v>0</v>
      </c>
      <c r="F86" s="204" t="n">
        <f aca="false">E86</f>
        <v>0</v>
      </c>
      <c r="G86" s="204" t="n">
        <f aca="false">IFERROR(MAX(0,MIN($B86*$C86,$B86-$B86*$C86*3)),0)</f>
        <v>0</v>
      </c>
      <c r="H86" s="204" t="n">
        <f aca="false">IFERROR(MAX(0,MIN($B86*$C86,$B86-$B86*$C86*4)),0)</f>
        <v>0</v>
      </c>
    </row>
    <row r="87" customFormat="false" ht="14.25" hidden="false" customHeight="true" outlineLevel="0" collapsed="false">
      <c r="A87" s="197" t="str">
        <f aca="false">+'Coût du projet'!A35</f>
        <v>Paillage en plastique</v>
      </c>
      <c r="B87" s="197" t="n">
        <f aca="false">+'Coût du projet'!B35</f>
        <v>400000</v>
      </c>
      <c r="C87" s="201" t="n">
        <v>0.2</v>
      </c>
      <c r="D87" s="181" t="n">
        <f aca="false">+B87*C87</f>
        <v>80000</v>
      </c>
      <c r="E87" s="181" t="n">
        <f aca="false">D87</f>
        <v>80000</v>
      </c>
      <c r="F87" s="181" t="n">
        <f aca="false">E87</f>
        <v>80000</v>
      </c>
      <c r="G87" s="181" t="n">
        <f aca="false">IFERROR(MAX(0,MIN($B87*$C87,$B87-$B87*$C87*3)),0)</f>
        <v>80000</v>
      </c>
      <c r="H87" s="181" t="n">
        <f aca="false">IFERROR(MAX(0,MIN($B87*$C87,$B87-$B87*$C87*4)),0)</f>
        <v>80000</v>
      </c>
    </row>
    <row r="88" customFormat="false" ht="14.25" hidden="false" customHeight="true" outlineLevel="0" collapsed="false">
      <c r="A88" s="197" t="str">
        <f aca="false">+'Coût du projet'!A36</f>
        <v>Pulvérisateurs</v>
      </c>
      <c r="B88" s="197" t="n">
        <f aca="false">+'Coût du projet'!B36</f>
        <v>75000</v>
      </c>
      <c r="C88" s="201" t="n">
        <v>0.2</v>
      </c>
      <c r="D88" s="181" t="n">
        <f aca="false">+B88*C88</f>
        <v>15000</v>
      </c>
      <c r="E88" s="181" t="n">
        <f aca="false">D88</f>
        <v>15000</v>
      </c>
      <c r="F88" s="181" t="n">
        <f aca="false">E88</f>
        <v>15000</v>
      </c>
      <c r="G88" s="181" t="n">
        <f aca="false">IFERROR(MAX(0,MIN($B88*$C88,$B88-$B88*$C88*3)),0)</f>
        <v>15000</v>
      </c>
      <c r="H88" s="181" t="n">
        <f aca="false">IFERROR(MAX(0,MIN($B88*$C88,$B88-$B88*$C88*4)),0)</f>
        <v>15000</v>
      </c>
    </row>
    <row r="89" customFormat="false" ht="14.25" hidden="false" customHeight="true" outlineLevel="0" collapsed="false">
      <c r="A89" s="197" t="str">
        <f aca="false">+'Coût du projet'!A37</f>
        <v>Brouettes + Houes</v>
      </c>
      <c r="B89" s="197" t="n">
        <f aca="false">+'Coût du projet'!B37</f>
        <v>60000</v>
      </c>
      <c r="C89" s="201" t="n">
        <v>0.2</v>
      </c>
      <c r="D89" s="181" t="n">
        <f aca="false">+B89*C89</f>
        <v>12000</v>
      </c>
      <c r="E89" s="181" t="n">
        <f aca="false">D89</f>
        <v>12000</v>
      </c>
      <c r="F89" s="181" t="n">
        <f aca="false">E89</f>
        <v>12000</v>
      </c>
      <c r="G89" s="181" t="n">
        <f aca="false">IFERROR(MAX(0,MIN($B89*$C89,$B89-$B89*$C89*3)),0)</f>
        <v>12000</v>
      </c>
      <c r="H89" s="181" t="n">
        <f aca="false">IFERROR(MAX(0,MIN($B89*$C89,$B89-$B89*$C89*4)),0)</f>
        <v>12000</v>
      </c>
    </row>
    <row r="90" customFormat="false" ht="14.25" hidden="false" customHeight="true" outlineLevel="0" collapsed="false">
      <c r="A90" s="197" t="str">
        <f aca="false">+'Coût du projet'!A38</f>
        <v>P 17 (2000 m)</v>
      </c>
      <c r="B90" s="197" t="n">
        <f aca="false">+'Coût du projet'!B38</f>
        <v>300000</v>
      </c>
      <c r="C90" s="201" t="n">
        <v>0.2</v>
      </c>
      <c r="D90" s="181" t="n">
        <f aca="false">+B90*C90</f>
        <v>60000</v>
      </c>
      <c r="E90" s="181" t="n">
        <f aca="false">D90</f>
        <v>60000</v>
      </c>
      <c r="F90" s="181" t="n">
        <f aca="false">E90</f>
        <v>60000</v>
      </c>
      <c r="G90" s="181" t="n">
        <f aca="false">IFERROR(MAX(0,MIN($B90*$C90,$B90-$B90*$C90*3)),0)</f>
        <v>60000</v>
      </c>
      <c r="H90" s="181" t="n">
        <f aca="false">IFERROR(MAX(0,MIN($B90*$C90,$B90-$B90*$C90*4)),0)</f>
        <v>60000</v>
      </c>
    </row>
    <row r="91" customFormat="false" ht="14.25" hidden="false" customHeight="true" outlineLevel="0" collapsed="false">
      <c r="A91" s="197" t="str">
        <f aca="false">+'Coût du projet'!A39</f>
        <v>Outils divers (dabas, pioches, pelles)</v>
      </c>
      <c r="B91" s="197" t="n">
        <f aca="false">+'Coût du projet'!B39</f>
        <v>45000</v>
      </c>
      <c r="C91" s="201" t="n">
        <v>0.2</v>
      </c>
      <c r="D91" s="181" t="n">
        <f aca="false">+B91*C91</f>
        <v>9000</v>
      </c>
      <c r="E91" s="181" t="n">
        <f aca="false">D91</f>
        <v>9000</v>
      </c>
      <c r="F91" s="181" t="n">
        <f aca="false">E91</f>
        <v>9000</v>
      </c>
      <c r="G91" s="181" t="n">
        <f aca="false">IFERROR(MAX(0,MIN($B91*$C91,$B91-$B91*$C91*3)),0)</f>
        <v>9000</v>
      </c>
      <c r="H91" s="181" t="n">
        <f aca="false">IFERROR(MAX(0,MIN($B91*$C91,$B91-$B91*$C91*4)),0)</f>
        <v>9000</v>
      </c>
    </row>
    <row r="92" customFormat="false" ht="14.25" hidden="false" customHeight="true" outlineLevel="0" collapsed="false">
      <c r="A92" s="182" t="s">
        <v>190</v>
      </c>
      <c r="B92" s="183" t="n">
        <f aca="false">+SUM(B66:B91)</f>
        <v>4000000</v>
      </c>
      <c r="C92" s="183"/>
      <c r="D92" s="183" t="n">
        <f aca="false">+SUM(D66:D91)</f>
        <v>968916.666666667</v>
      </c>
      <c r="E92" s="183" t="n">
        <f aca="false">+SUM(E66:E91)</f>
        <v>953916.666666667</v>
      </c>
      <c r="F92" s="183" t="n">
        <f aca="false">+SUM(F66:F91)</f>
        <v>953916.666666667</v>
      </c>
      <c r="G92" s="183" t="n">
        <f aca="false">+SUM(G66:G91)</f>
        <v>947250</v>
      </c>
      <c r="H92" s="183" t="n">
        <f aca="false">+SUM(H66:H91)</f>
        <v>176000</v>
      </c>
    </row>
    <row r="93" customFormat="false" ht="14.25" hidden="false" customHeight="true" outlineLevel="0" collapsed="false">
      <c r="A93" s="172"/>
      <c r="B93" s="173"/>
      <c r="C93" s="173"/>
      <c r="D93" s="173"/>
      <c r="E93" s="173"/>
      <c r="F93" s="173"/>
      <c r="G93" s="169"/>
    </row>
    <row r="94" customFormat="false" ht="15.75" hidden="false" customHeight="true" outlineLevel="0" collapsed="false">
      <c r="A94" s="205" t="s">
        <v>205</v>
      </c>
      <c r="B94" s="206"/>
      <c r="C94" s="206"/>
      <c r="D94" s="206"/>
      <c r="E94" s="206"/>
      <c r="F94" s="206"/>
      <c r="G94" s="169"/>
    </row>
    <row r="95" customFormat="false" ht="14.25" hidden="false" customHeight="true" outlineLevel="0" collapsed="false">
      <c r="A95" s="169"/>
      <c r="B95" s="170"/>
      <c r="C95" s="170"/>
      <c r="D95" s="170"/>
      <c r="E95" s="170"/>
      <c r="F95" s="170"/>
      <c r="G95" s="169"/>
    </row>
    <row r="96" customFormat="false" ht="14.25" hidden="false" customHeight="true" outlineLevel="0" collapsed="false">
      <c r="G96" s="168"/>
    </row>
    <row r="97" customFormat="false" ht="14.25" hidden="false" customHeight="true" outlineLevel="0" collapsed="false">
      <c r="G97" s="168"/>
    </row>
    <row r="98" customFormat="false" ht="14.25" hidden="false" customHeight="true" outlineLevel="0" collapsed="false">
      <c r="G98" s="168"/>
    </row>
    <row r="99" customFormat="false" ht="14.25" hidden="false" customHeight="true" outlineLevel="0" collapsed="false">
      <c r="G99" s="168"/>
    </row>
    <row r="100" customFormat="false" ht="14.25" hidden="false" customHeight="true" outlineLevel="0" collapsed="false">
      <c r="G100" s="168"/>
    </row>
    <row r="101" customFormat="false" ht="14.25" hidden="false" customHeight="true" outlineLevel="0" collapsed="false">
      <c r="G101" s="168"/>
    </row>
    <row r="102" customFormat="false" ht="14.25" hidden="false" customHeight="true" outlineLevel="0" collapsed="false">
      <c r="G102" s="168"/>
    </row>
    <row r="103" customFormat="false" ht="14.25" hidden="false" customHeight="true" outlineLevel="0" collapsed="false">
      <c r="G103" s="168"/>
    </row>
    <row r="104" customFormat="false" ht="14.25" hidden="false" customHeight="true" outlineLevel="0" collapsed="false">
      <c r="G104" s="168"/>
    </row>
    <row r="105" customFormat="false" ht="14.25" hidden="false" customHeight="true" outlineLevel="0" collapsed="false">
      <c r="G105" s="168"/>
    </row>
    <row r="106" customFormat="false" ht="14.25" hidden="false" customHeight="true" outlineLevel="0" collapsed="false">
      <c r="G106" s="168"/>
    </row>
    <row r="107" customFormat="false" ht="14.25" hidden="false" customHeight="true" outlineLevel="0" collapsed="false">
      <c r="G107" s="168"/>
    </row>
    <row r="108" customFormat="false" ht="14.25" hidden="false" customHeight="true" outlineLevel="0" collapsed="false">
      <c r="G108" s="168"/>
    </row>
    <row r="109" customFormat="false" ht="14.25" hidden="false" customHeight="true" outlineLevel="0" collapsed="false">
      <c r="G109" s="168"/>
    </row>
    <row r="110" customFormat="false" ht="14.25" hidden="false" customHeight="true" outlineLevel="0" collapsed="false">
      <c r="G110" s="168"/>
    </row>
    <row r="111" customFormat="false" ht="14.25" hidden="false" customHeight="true" outlineLevel="0" collapsed="false">
      <c r="G111" s="168"/>
    </row>
    <row r="112" customFormat="false" ht="14.25" hidden="false" customHeight="true" outlineLevel="0" collapsed="false">
      <c r="G112" s="168"/>
    </row>
    <row r="113" customFormat="false" ht="14.25" hidden="false" customHeight="true" outlineLevel="0" collapsed="false">
      <c r="G113" s="168"/>
    </row>
    <row r="114" customFormat="false" ht="14.25" hidden="false" customHeight="true" outlineLevel="0" collapsed="false">
      <c r="G114" s="168"/>
    </row>
    <row r="115" customFormat="false" ht="14.25" hidden="false" customHeight="true" outlineLevel="0" collapsed="false">
      <c r="G115" s="168"/>
    </row>
    <row r="116" customFormat="false" ht="14.25" hidden="false" customHeight="true" outlineLevel="0" collapsed="false">
      <c r="G116" s="168"/>
    </row>
    <row r="117" customFormat="false" ht="14.25" hidden="false" customHeight="true" outlineLevel="0" collapsed="false">
      <c r="G117" s="168"/>
    </row>
    <row r="118" customFormat="false" ht="14.25" hidden="false" customHeight="true" outlineLevel="0" collapsed="false">
      <c r="G118" s="168"/>
    </row>
    <row r="119" customFormat="false" ht="14.25" hidden="false" customHeight="true" outlineLevel="0" collapsed="false">
      <c r="G119" s="168"/>
    </row>
    <row r="120" customFormat="false" ht="14.25" hidden="false" customHeight="true" outlineLevel="0" collapsed="false">
      <c r="G120" s="168"/>
    </row>
    <row r="121" customFormat="false" ht="14.25" hidden="false" customHeight="true" outlineLevel="0" collapsed="false">
      <c r="G121" s="168"/>
    </row>
    <row r="122" customFormat="false" ht="14.25" hidden="false" customHeight="true" outlineLevel="0" collapsed="false">
      <c r="G122" s="168"/>
    </row>
    <row r="123" customFormat="false" ht="14.25" hidden="false" customHeight="true" outlineLevel="0" collapsed="false">
      <c r="G123" s="168"/>
    </row>
    <row r="124" customFormat="false" ht="14.25" hidden="false" customHeight="true" outlineLevel="0" collapsed="false">
      <c r="G124" s="168"/>
    </row>
    <row r="125" customFormat="false" ht="14.25" hidden="false" customHeight="true" outlineLevel="0" collapsed="false">
      <c r="G125" s="168"/>
    </row>
    <row r="126" customFormat="false" ht="14.25" hidden="false" customHeight="true" outlineLevel="0" collapsed="false">
      <c r="G126" s="168"/>
    </row>
    <row r="127" customFormat="false" ht="14.25" hidden="false" customHeight="true" outlineLevel="0" collapsed="false">
      <c r="G127" s="168"/>
    </row>
    <row r="128" customFormat="false" ht="14.25" hidden="false" customHeight="true" outlineLevel="0" collapsed="false">
      <c r="G128" s="168"/>
    </row>
    <row r="129" customFormat="false" ht="14.25" hidden="false" customHeight="true" outlineLevel="0" collapsed="false">
      <c r="G129" s="168"/>
    </row>
    <row r="130" customFormat="false" ht="14.25" hidden="false" customHeight="true" outlineLevel="0" collapsed="false">
      <c r="G130" s="168"/>
    </row>
    <row r="131" customFormat="false" ht="14.25" hidden="false" customHeight="true" outlineLevel="0" collapsed="false">
      <c r="G131" s="168"/>
    </row>
    <row r="132" customFormat="false" ht="14.25" hidden="false" customHeight="true" outlineLevel="0" collapsed="false">
      <c r="G132" s="168"/>
    </row>
    <row r="133" customFormat="false" ht="14.25" hidden="false" customHeight="true" outlineLevel="0" collapsed="false">
      <c r="G133" s="168"/>
    </row>
    <row r="134" customFormat="false" ht="14.25" hidden="false" customHeight="true" outlineLevel="0" collapsed="false">
      <c r="G134" s="168"/>
    </row>
    <row r="135" customFormat="false" ht="14.25" hidden="false" customHeight="true" outlineLevel="0" collapsed="false">
      <c r="G135" s="168"/>
    </row>
    <row r="136" customFormat="false" ht="14.25" hidden="false" customHeight="true" outlineLevel="0" collapsed="false">
      <c r="G136" s="168"/>
    </row>
    <row r="137" customFormat="false" ht="14.25" hidden="false" customHeight="true" outlineLevel="0" collapsed="false">
      <c r="G137" s="168"/>
    </row>
    <row r="138" customFormat="false" ht="14.25" hidden="false" customHeight="true" outlineLevel="0" collapsed="false">
      <c r="G138" s="168"/>
    </row>
    <row r="139" customFormat="false" ht="14.25" hidden="false" customHeight="true" outlineLevel="0" collapsed="false">
      <c r="G139" s="168"/>
    </row>
    <row r="140" customFormat="false" ht="14.25" hidden="false" customHeight="true" outlineLevel="0" collapsed="false">
      <c r="G140" s="168"/>
    </row>
    <row r="141" customFormat="false" ht="14.25" hidden="false" customHeight="true" outlineLevel="0" collapsed="false">
      <c r="G141" s="168"/>
    </row>
    <row r="142" customFormat="false" ht="14.25" hidden="false" customHeight="true" outlineLevel="0" collapsed="false">
      <c r="G142" s="168"/>
    </row>
    <row r="143" customFormat="false" ht="14.25" hidden="false" customHeight="true" outlineLevel="0" collapsed="false">
      <c r="G143" s="168"/>
    </row>
    <row r="144" customFormat="false" ht="14.25" hidden="false" customHeight="true" outlineLevel="0" collapsed="false">
      <c r="G144" s="168"/>
    </row>
    <row r="145" customFormat="false" ht="14.25" hidden="false" customHeight="true" outlineLevel="0" collapsed="false">
      <c r="G145" s="168"/>
    </row>
    <row r="146" customFormat="false" ht="14.25" hidden="false" customHeight="true" outlineLevel="0" collapsed="false">
      <c r="G146" s="168"/>
    </row>
    <row r="147" customFormat="false" ht="14.25" hidden="false" customHeight="true" outlineLevel="0" collapsed="false">
      <c r="G147" s="168"/>
    </row>
    <row r="148" customFormat="false" ht="14.25" hidden="false" customHeight="true" outlineLevel="0" collapsed="false">
      <c r="G148" s="168"/>
    </row>
    <row r="149" customFormat="false" ht="14.25" hidden="false" customHeight="true" outlineLevel="0" collapsed="false">
      <c r="G149" s="168"/>
    </row>
    <row r="150" customFormat="false" ht="14.25" hidden="false" customHeight="true" outlineLevel="0" collapsed="false">
      <c r="G150" s="168"/>
    </row>
    <row r="151" customFormat="false" ht="14.25" hidden="false" customHeight="true" outlineLevel="0" collapsed="false">
      <c r="G151" s="168"/>
    </row>
    <row r="152" customFormat="false" ht="14.25" hidden="false" customHeight="true" outlineLevel="0" collapsed="false">
      <c r="G152" s="168"/>
    </row>
    <row r="153" customFormat="false" ht="14.25" hidden="false" customHeight="true" outlineLevel="0" collapsed="false">
      <c r="G153" s="168"/>
    </row>
    <row r="154" customFormat="false" ht="14.25" hidden="false" customHeight="true" outlineLevel="0" collapsed="false">
      <c r="G154" s="168"/>
    </row>
    <row r="155" customFormat="false" ht="14.25" hidden="false" customHeight="true" outlineLevel="0" collapsed="false">
      <c r="G155" s="168"/>
    </row>
    <row r="156" customFormat="false" ht="14.25" hidden="false" customHeight="true" outlineLevel="0" collapsed="false">
      <c r="G156" s="168"/>
    </row>
    <row r="157" customFormat="false" ht="14.25" hidden="false" customHeight="true" outlineLevel="0" collapsed="false">
      <c r="G157" s="168"/>
    </row>
    <row r="158" customFormat="false" ht="14.25" hidden="false" customHeight="true" outlineLevel="0" collapsed="false">
      <c r="G158" s="168"/>
    </row>
    <row r="159" customFormat="false" ht="14.25" hidden="false" customHeight="true" outlineLevel="0" collapsed="false">
      <c r="G159" s="168"/>
    </row>
    <row r="160" customFormat="false" ht="14.25" hidden="false" customHeight="true" outlineLevel="0" collapsed="false">
      <c r="G160" s="168"/>
    </row>
    <row r="161" customFormat="false" ht="14.25" hidden="false" customHeight="true" outlineLevel="0" collapsed="false">
      <c r="G161" s="168"/>
    </row>
    <row r="162" customFormat="false" ht="14.25" hidden="false" customHeight="true" outlineLevel="0" collapsed="false">
      <c r="G162" s="168"/>
    </row>
    <row r="163" customFormat="false" ht="14.25" hidden="false" customHeight="true" outlineLevel="0" collapsed="false">
      <c r="G163" s="168"/>
    </row>
    <row r="164" customFormat="false" ht="14.25" hidden="false" customHeight="true" outlineLevel="0" collapsed="false">
      <c r="G164" s="168"/>
    </row>
    <row r="165" customFormat="false" ht="14.25" hidden="false" customHeight="true" outlineLevel="0" collapsed="false">
      <c r="G165" s="168"/>
    </row>
    <row r="166" customFormat="false" ht="14.25" hidden="false" customHeight="true" outlineLevel="0" collapsed="false">
      <c r="G166" s="168"/>
    </row>
    <row r="167" customFormat="false" ht="14.25" hidden="false" customHeight="true" outlineLevel="0" collapsed="false">
      <c r="G167" s="168"/>
    </row>
    <row r="168" customFormat="false" ht="14.25" hidden="false" customHeight="true" outlineLevel="0" collapsed="false">
      <c r="G168" s="168"/>
    </row>
    <row r="169" customFormat="false" ht="14.25" hidden="false" customHeight="true" outlineLevel="0" collapsed="false">
      <c r="G169" s="168"/>
    </row>
    <row r="170" customFormat="false" ht="14.25" hidden="false" customHeight="true" outlineLevel="0" collapsed="false">
      <c r="G170" s="168"/>
    </row>
    <row r="171" customFormat="false" ht="14.25" hidden="false" customHeight="true" outlineLevel="0" collapsed="false">
      <c r="G171" s="168"/>
    </row>
    <row r="172" customFormat="false" ht="14.25" hidden="false" customHeight="true" outlineLevel="0" collapsed="false">
      <c r="G172" s="168"/>
    </row>
    <row r="173" customFormat="false" ht="14.25" hidden="false" customHeight="true" outlineLevel="0" collapsed="false">
      <c r="G173" s="168"/>
    </row>
    <row r="174" customFormat="false" ht="14.25" hidden="false" customHeight="true" outlineLevel="0" collapsed="false">
      <c r="G174" s="168"/>
    </row>
  </sheetData>
  <mergeCells count="2">
    <mergeCell ref="H33:I38"/>
    <mergeCell ref="G34:G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453125" defaultRowHeight="14.25" zeroHeight="false" outlineLevelRow="0" outlineLevelCol="0"/>
  <cols>
    <col collapsed="false" customWidth="true" hidden="false" outlineLevel="0" max="1" min="1" style="207" width="25.45"/>
    <col collapsed="false" customWidth="true" hidden="false" outlineLevel="0" max="3" min="2" style="207" width="15.54"/>
    <col collapsed="false" customWidth="true" hidden="false" outlineLevel="0" max="4" min="4" style="207" width="13.45"/>
    <col collapsed="false" customWidth="true" hidden="false" outlineLevel="0" max="5" min="5" style="208" width="15.09"/>
    <col collapsed="false" customWidth="true" hidden="false" outlineLevel="0" max="6" min="6" style="208" width="13"/>
    <col collapsed="false" customWidth="true" hidden="false" outlineLevel="0" max="8" min="7" style="208" width="13.45"/>
    <col collapsed="false" customWidth="true" hidden="false" outlineLevel="0" max="9" min="9" style="207" width="6.09"/>
    <col collapsed="false" customWidth="false" hidden="true" outlineLevel="0" max="10" min="10" style="207" width="11.45"/>
    <col collapsed="false" customWidth="true" hidden="true" outlineLevel="0" max="11" min="11" style="207" width="11.54"/>
    <col collapsed="false" customWidth="true" hidden="true" outlineLevel="0" max="12" min="12" style="207" width="15.54"/>
    <col collapsed="false" customWidth="true" hidden="true" outlineLevel="0" max="13" min="13" style="207" width="14.45"/>
    <col collapsed="false" customWidth="true" hidden="true" outlineLevel="0" max="14" min="14" style="207" width="13.45"/>
    <col collapsed="false" customWidth="false" hidden="false" outlineLevel="0" max="16384" min="15" style="207" width="11.45"/>
  </cols>
  <sheetData>
    <row r="1" customFormat="false" ht="15.75" hidden="false" customHeight="true" outlineLevel="0" collapsed="false">
      <c r="A1" s="209" t="s">
        <v>206</v>
      </c>
      <c r="B1" s="209"/>
      <c r="C1" s="210" t="n">
        <f aca="false">+'Plan Financement'!C14</f>
        <v>3000000</v>
      </c>
      <c r="D1" s="211" t="s">
        <v>207</v>
      </c>
      <c r="E1" s="212"/>
      <c r="F1" s="213"/>
      <c r="G1" s="213"/>
      <c r="H1" s="214"/>
      <c r="I1" s="169"/>
      <c r="L1" s="215"/>
      <c r="M1" s="216"/>
      <c r="N1" s="216"/>
    </row>
    <row r="2" customFormat="false" ht="15.75" hidden="false" customHeight="true" outlineLevel="0" collapsed="false">
      <c r="A2" s="209" t="s">
        <v>208</v>
      </c>
      <c r="B2" s="209"/>
      <c r="C2" s="217" t="n">
        <f aca="false">+'Plan Financement'!B20</f>
        <v>0.08</v>
      </c>
      <c r="D2" s="218" t="s">
        <v>209</v>
      </c>
      <c r="E2" s="219" t="n">
        <f aca="false">C2/12</f>
        <v>0.00666666666666667</v>
      </c>
      <c r="F2" s="220" t="s">
        <v>210</v>
      </c>
      <c r="G2" s="220"/>
      <c r="H2" s="221"/>
      <c r="I2" s="169"/>
      <c r="L2" s="218"/>
      <c r="M2" s="216"/>
      <c r="N2" s="216"/>
    </row>
    <row r="3" customFormat="false" ht="15.75" hidden="false" customHeight="true" outlineLevel="0" collapsed="false">
      <c r="A3" s="209" t="s">
        <v>211</v>
      </c>
      <c r="B3" s="209"/>
      <c r="C3" s="217" t="n">
        <f aca="false">+'Plan Financement'!B23</f>
        <v>0.17</v>
      </c>
      <c r="D3" s="222" t="s">
        <v>212</v>
      </c>
      <c r="E3" s="212"/>
      <c r="F3" s="213"/>
      <c r="G3" s="213"/>
      <c r="H3" s="214"/>
      <c r="I3" s="169"/>
      <c r="L3" s="215"/>
      <c r="M3" s="216"/>
      <c r="N3" s="216"/>
    </row>
    <row r="4" customFormat="false" ht="15.75" hidden="false" customHeight="true" outlineLevel="0" collapsed="false">
      <c r="A4" s="209" t="s">
        <v>213</v>
      </c>
      <c r="B4" s="209"/>
      <c r="C4" s="223" t="n">
        <f aca="false">C2*(1+C3)</f>
        <v>0.0936</v>
      </c>
      <c r="D4" s="222" t="s">
        <v>212</v>
      </c>
      <c r="E4" s="212"/>
      <c r="F4" s="220"/>
      <c r="G4" s="220"/>
      <c r="H4" s="221"/>
      <c r="I4" s="169"/>
      <c r="L4" s="218"/>
      <c r="M4" s="216"/>
      <c r="N4" s="216"/>
    </row>
    <row r="5" customFormat="false" ht="15.75" hidden="false" customHeight="true" outlineLevel="0" collapsed="false">
      <c r="A5" s="209" t="s">
        <v>214</v>
      </c>
      <c r="B5" s="209"/>
      <c r="C5" s="224" t="s">
        <v>210</v>
      </c>
      <c r="D5" s="222"/>
      <c r="E5" s="212"/>
      <c r="F5" s="213"/>
      <c r="G5" s="213"/>
      <c r="H5" s="214"/>
      <c r="I5" s="169"/>
      <c r="L5" s="215"/>
      <c r="M5" s="216"/>
      <c r="N5" s="216"/>
    </row>
    <row r="6" customFormat="false" ht="15.75" hidden="false" customHeight="true" outlineLevel="0" collapsed="false">
      <c r="A6" s="209" t="s">
        <v>215</v>
      </c>
      <c r="B6" s="209"/>
      <c r="C6" s="225" t="n">
        <f aca="false">+'Plan Financement'!B21</f>
        <v>3</v>
      </c>
      <c r="D6" s="226" t="s">
        <v>175</v>
      </c>
      <c r="E6" s="212"/>
      <c r="F6" s="213"/>
      <c r="G6" s="213"/>
      <c r="H6" s="214"/>
      <c r="I6" s="169"/>
      <c r="L6" s="215"/>
      <c r="M6" s="216"/>
      <c r="N6" s="216"/>
    </row>
    <row r="7" customFormat="false" ht="15.75" hidden="false" customHeight="true" outlineLevel="0" collapsed="false">
      <c r="A7" s="209" t="s">
        <v>216</v>
      </c>
      <c r="B7" s="209"/>
      <c r="C7" s="225" t="n">
        <f aca="false">+'Plan Financement'!B19</f>
        <v>36</v>
      </c>
      <c r="D7" s="226" t="s">
        <v>175</v>
      </c>
      <c r="E7" s="212"/>
      <c r="F7" s="213"/>
      <c r="G7" s="213"/>
      <c r="H7" s="214"/>
      <c r="I7" s="169"/>
      <c r="L7" s="215"/>
      <c r="M7" s="216"/>
      <c r="N7" s="216"/>
    </row>
    <row r="8" customFormat="false" ht="15.75" hidden="false" customHeight="true" outlineLevel="0" collapsed="false">
      <c r="A8" s="209" t="s">
        <v>217</v>
      </c>
      <c r="B8" s="209"/>
      <c r="C8" s="225" t="n">
        <f aca="false">+C7-C6</f>
        <v>33</v>
      </c>
      <c r="D8" s="218"/>
      <c r="E8" s="213"/>
      <c r="F8" s="213"/>
      <c r="G8" s="213"/>
      <c r="H8" s="214"/>
      <c r="I8" s="169"/>
      <c r="L8" s="215"/>
      <c r="M8" s="216"/>
      <c r="N8" s="216"/>
    </row>
    <row r="9" customFormat="false" ht="15" hidden="false" customHeight="true" outlineLevel="0" collapsed="false">
      <c r="A9" s="227"/>
      <c r="B9" s="228"/>
      <c r="C9" s="228"/>
      <c r="D9" s="229"/>
      <c r="E9" s="229"/>
      <c r="F9" s="229"/>
      <c r="G9" s="229"/>
      <c r="H9" s="229"/>
      <c r="I9" s="169"/>
      <c r="L9" s="228"/>
      <c r="M9" s="229"/>
      <c r="N9" s="229"/>
    </row>
    <row r="10" customFormat="false" ht="15.75" hidden="false" customHeight="true" outlineLevel="0" collapsed="false">
      <c r="A10" s="230" t="s">
        <v>218</v>
      </c>
      <c r="B10" s="230" t="s">
        <v>56</v>
      </c>
      <c r="C10" s="230" t="s">
        <v>219</v>
      </c>
      <c r="D10" s="230" t="s">
        <v>177</v>
      </c>
      <c r="E10" s="230" t="s">
        <v>220</v>
      </c>
      <c r="F10" s="230" t="s">
        <v>221</v>
      </c>
      <c r="G10" s="230"/>
      <c r="H10" s="230"/>
      <c r="I10" s="169"/>
      <c r="L10" s="231"/>
      <c r="M10" s="230" t="s">
        <v>219</v>
      </c>
      <c r="N10" s="230" t="s">
        <v>177</v>
      </c>
    </row>
    <row r="11" customFormat="false" ht="31.5" hidden="false" customHeight="true" outlineLevel="0" collapsed="false">
      <c r="A11" s="230"/>
      <c r="B11" s="230"/>
      <c r="C11" s="230"/>
      <c r="D11" s="230"/>
      <c r="E11" s="230"/>
      <c r="F11" s="230" t="s">
        <v>222</v>
      </c>
      <c r="G11" s="230" t="s">
        <v>223</v>
      </c>
      <c r="H11" s="230" t="s">
        <v>224</v>
      </c>
      <c r="I11" s="169"/>
      <c r="L11" s="230" t="s">
        <v>223</v>
      </c>
      <c r="M11" s="230"/>
      <c r="N11" s="230"/>
    </row>
    <row r="12" customFormat="false" ht="15.75" hidden="false" customHeight="true" outlineLevel="0" collapsed="false">
      <c r="A12" s="232" t="n">
        <v>1</v>
      </c>
      <c r="B12" s="233" t="n">
        <f aca="false">C1</f>
        <v>3000000</v>
      </c>
      <c r="C12" s="234" t="n">
        <f aca="false">+IF(M12&gt;=0,M12,0)</f>
        <v>20000</v>
      </c>
      <c r="D12" s="234" t="n">
        <f aca="false">+IF(N12&gt;=0,N12,0)</f>
        <v>3400</v>
      </c>
      <c r="E12" s="234" t="n">
        <f aca="false">+C12+D12</f>
        <v>23400</v>
      </c>
      <c r="F12" s="234" t="n">
        <f aca="false">+IF(C12&gt;1,J12,0)</f>
        <v>0</v>
      </c>
      <c r="G12" s="234" t="n">
        <f aca="false">+IF(E12&gt;1,L12,0)</f>
        <v>23400</v>
      </c>
      <c r="H12" s="234" t="n">
        <f aca="false">IF(F12&lt;=0,0,$L$50)</f>
        <v>0</v>
      </c>
      <c r="I12" s="169"/>
      <c r="J12" s="207" t="n">
        <f aca="false">+G12-E12</f>
        <v>0</v>
      </c>
      <c r="L12" s="235" t="n">
        <f aca="false">IF($C$6&lt;&gt;0,E12,($C$1/$C$8)+E12)</f>
        <v>23400</v>
      </c>
      <c r="M12" s="235" t="n">
        <f aca="false">B12*E$2</f>
        <v>20000</v>
      </c>
      <c r="N12" s="236" t="n">
        <f aca="false">M12*C$3</f>
        <v>3400</v>
      </c>
    </row>
    <row r="13" customFormat="false" ht="15.75" hidden="false" customHeight="true" outlineLevel="0" collapsed="false">
      <c r="A13" s="233" t="n">
        <f aca="false">A12+1</f>
        <v>2</v>
      </c>
      <c r="B13" s="233" t="n">
        <f aca="false">B12-F12</f>
        <v>3000000</v>
      </c>
      <c r="C13" s="234" t="n">
        <f aca="false">+IF(M13&gt;=0,M13,0)</f>
        <v>20000</v>
      </c>
      <c r="D13" s="234" t="n">
        <f aca="false">+IF(N13&gt;=0,N13,0)</f>
        <v>3400</v>
      </c>
      <c r="E13" s="234" t="n">
        <f aca="false">+C13+D13</f>
        <v>23400</v>
      </c>
      <c r="F13" s="234" t="n">
        <f aca="false">+IF(C13&gt;1,J13,0)</f>
        <v>0</v>
      </c>
      <c r="G13" s="234" t="n">
        <f aca="false">+IF(E13&gt;1,L13,0)</f>
        <v>23400</v>
      </c>
      <c r="H13" s="234" t="n">
        <f aca="false">IF(F13&lt;=0,0,$L$50)</f>
        <v>0</v>
      </c>
      <c r="I13" s="169"/>
      <c r="J13" s="207" t="n">
        <f aca="false">+G13-E13</f>
        <v>0</v>
      </c>
      <c r="L13" s="235" t="n">
        <f aca="false">IF($C$6&gt;=2,E13,($C$1/$C$8)+E13)</f>
        <v>23400</v>
      </c>
      <c r="M13" s="235" t="n">
        <f aca="false">B13*E$2</f>
        <v>20000</v>
      </c>
      <c r="N13" s="236" t="n">
        <f aca="false">M13*C$3</f>
        <v>3400</v>
      </c>
    </row>
    <row r="14" customFormat="false" ht="15.75" hidden="false" customHeight="true" outlineLevel="0" collapsed="false">
      <c r="A14" s="233" t="n">
        <f aca="false">A13+1</f>
        <v>3</v>
      </c>
      <c r="B14" s="233" t="n">
        <f aca="false">B13-F13</f>
        <v>3000000</v>
      </c>
      <c r="C14" s="234" t="n">
        <f aca="false">+IF(M14&gt;=0,M14,0)</f>
        <v>20000</v>
      </c>
      <c r="D14" s="234" t="n">
        <f aca="false">+IF(N14&gt;=0,N14,0)</f>
        <v>3400</v>
      </c>
      <c r="E14" s="234" t="n">
        <f aca="false">+C14+D14</f>
        <v>23400</v>
      </c>
      <c r="F14" s="234" t="n">
        <f aca="false">+IF(C14&gt;1,J14,0)</f>
        <v>0</v>
      </c>
      <c r="G14" s="234" t="n">
        <f aca="false">+IF(E14&gt;1,L14,0)</f>
        <v>23400</v>
      </c>
      <c r="H14" s="234" t="n">
        <f aca="false">IF(F14&lt;=0,0,$L$50)</f>
        <v>0</v>
      </c>
      <c r="I14" s="169"/>
      <c r="J14" s="207" t="n">
        <f aca="false">+G14-E14</f>
        <v>0</v>
      </c>
      <c r="L14" s="235" t="n">
        <f aca="false">IF($C$6&gt;=3,E14,($C$1/$C$8)+E14)</f>
        <v>23400</v>
      </c>
      <c r="M14" s="235" t="n">
        <f aca="false">B14*E$2</f>
        <v>20000</v>
      </c>
      <c r="N14" s="236" t="n">
        <f aca="false">M14*C$3</f>
        <v>3400</v>
      </c>
    </row>
    <row r="15" customFormat="false" ht="15.75" hidden="false" customHeight="true" outlineLevel="0" collapsed="false">
      <c r="A15" s="233" t="n">
        <f aca="false">A14+1</f>
        <v>4</v>
      </c>
      <c r="B15" s="233" t="n">
        <f aca="false">B14-F14</f>
        <v>3000000</v>
      </c>
      <c r="C15" s="234" t="n">
        <f aca="false">+IF(M15&gt;=0,M15,0)</f>
        <v>20000</v>
      </c>
      <c r="D15" s="234" t="n">
        <f aca="false">+IF(N15&gt;=0,N15,0)</f>
        <v>3400</v>
      </c>
      <c r="E15" s="234" t="n">
        <f aca="false">+C15+D15</f>
        <v>23400</v>
      </c>
      <c r="F15" s="234" t="n">
        <f aca="false">+IF(C15&gt;1,J15,0)</f>
        <v>90909.0909090909</v>
      </c>
      <c r="G15" s="234" t="n">
        <f aca="false">+IF(E15&gt;1,L15,0)</f>
        <v>114309.090909091</v>
      </c>
      <c r="H15" s="234" t="n">
        <f aca="false">IF(F15&lt;=0,0,$L$50)</f>
        <v>105090.909090909</v>
      </c>
      <c r="I15" s="169"/>
      <c r="J15" s="207" t="n">
        <f aca="false">+G15-E15</f>
        <v>90909.0909090909</v>
      </c>
      <c r="L15" s="235" t="n">
        <f aca="false">IF($C$6&gt;=4,E15,($C$1/$C$8)+E15)</f>
        <v>114309.090909091</v>
      </c>
      <c r="M15" s="235" t="n">
        <f aca="false">B15*E$2</f>
        <v>20000</v>
      </c>
      <c r="N15" s="236" t="n">
        <f aca="false">M15*C$3</f>
        <v>3400</v>
      </c>
    </row>
    <row r="16" customFormat="false" ht="15.75" hidden="false" customHeight="true" outlineLevel="0" collapsed="false">
      <c r="A16" s="233" t="n">
        <f aca="false">A15+1</f>
        <v>5</v>
      </c>
      <c r="B16" s="233" t="n">
        <f aca="false">B15-F15</f>
        <v>2909090.90909091</v>
      </c>
      <c r="C16" s="234" t="n">
        <f aca="false">+IF(M16&gt;=0,M16,0)</f>
        <v>19393.9393939394</v>
      </c>
      <c r="D16" s="234" t="n">
        <f aca="false">+IF(N16&gt;=0,N16,0)</f>
        <v>3296.9696969697</v>
      </c>
      <c r="E16" s="234" t="n">
        <f aca="false">+C16+D16</f>
        <v>22690.9090909091</v>
      </c>
      <c r="F16" s="234" t="n">
        <f aca="false">+IF(C16&gt;1,J16,0)</f>
        <v>90909.0909090909</v>
      </c>
      <c r="G16" s="234" t="n">
        <f aca="false">+IF(E16&gt;1,L16,0)</f>
        <v>113600</v>
      </c>
      <c r="H16" s="234" t="n">
        <f aca="false">IF(F16&lt;=0,0,$L$50)</f>
        <v>105090.909090909</v>
      </c>
      <c r="I16" s="169"/>
      <c r="J16" s="207" t="n">
        <f aca="false">+G16-E16</f>
        <v>90909.0909090909</v>
      </c>
      <c r="L16" s="235" t="n">
        <f aca="false">IF($C$6&gt;=5,E16,($C$1/$C$8)+E16)</f>
        <v>113600</v>
      </c>
      <c r="M16" s="235" t="n">
        <f aca="false">B16*E$2</f>
        <v>19393.9393939394</v>
      </c>
      <c r="N16" s="236" t="n">
        <f aca="false">M16*C$3</f>
        <v>3296.9696969697</v>
      </c>
    </row>
    <row r="17" customFormat="false" ht="15.75" hidden="false" customHeight="true" outlineLevel="0" collapsed="false">
      <c r="A17" s="233" t="n">
        <f aca="false">A16+1</f>
        <v>6</v>
      </c>
      <c r="B17" s="233" t="n">
        <f aca="false">B16-F16</f>
        <v>2818181.81818182</v>
      </c>
      <c r="C17" s="234" t="n">
        <f aca="false">+IF(M17&gt;=0,M17,0)</f>
        <v>18787.8787878788</v>
      </c>
      <c r="D17" s="234" t="n">
        <f aca="false">+IF(N17&gt;=0,N17,0)</f>
        <v>3193.9393939394</v>
      </c>
      <c r="E17" s="234" t="n">
        <f aca="false">+C17+D17</f>
        <v>21981.8181818182</v>
      </c>
      <c r="F17" s="234" t="n">
        <f aca="false">+IF(C17&gt;1,J17,0)</f>
        <v>90909.0909090909</v>
      </c>
      <c r="G17" s="234" t="n">
        <f aca="false">+IF(E17&gt;1,L17,0)</f>
        <v>112890.909090909</v>
      </c>
      <c r="H17" s="234" t="n">
        <f aca="false">IF(F17&lt;=0,0,$L$50)</f>
        <v>105090.909090909</v>
      </c>
      <c r="I17" s="169"/>
      <c r="J17" s="207" t="n">
        <f aca="false">+G17-E17</f>
        <v>90909.0909090909</v>
      </c>
      <c r="L17" s="235" t="n">
        <f aca="false">IF($C$6&gt;=6,E17,($C$1/$C$8)+E17)</f>
        <v>112890.909090909</v>
      </c>
      <c r="M17" s="235" t="n">
        <f aca="false">B17*E$2</f>
        <v>18787.8787878788</v>
      </c>
      <c r="N17" s="236" t="n">
        <f aca="false">M17*C$3</f>
        <v>3193.9393939394</v>
      </c>
    </row>
    <row r="18" customFormat="false" ht="15.75" hidden="false" customHeight="true" outlineLevel="0" collapsed="false">
      <c r="A18" s="233" t="n">
        <f aca="false">A17+1</f>
        <v>7</v>
      </c>
      <c r="B18" s="233" t="n">
        <f aca="false">B17-F17</f>
        <v>2727272.72727273</v>
      </c>
      <c r="C18" s="234" t="n">
        <f aca="false">+IF(M18&gt;=0,M18,0)</f>
        <v>18181.8181818182</v>
      </c>
      <c r="D18" s="234" t="n">
        <f aca="false">+IF(N18&gt;=0,N18,0)</f>
        <v>3090.90909090909</v>
      </c>
      <c r="E18" s="234" t="n">
        <f aca="false">+C18+D18</f>
        <v>21272.7272727273</v>
      </c>
      <c r="F18" s="234" t="n">
        <f aca="false">+IF(C18&gt;1,J18,0)</f>
        <v>90909.0909090909</v>
      </c>
      <c r="G18" s="234" t="n">
        <f aca="false">+IF(E18&gt;1,L18,0)</f>
        <v>112181.818181818</v>
      </c>
      <c r="H18" s="234" t="n">
        <f aca="false">IF(F18&lt;=0,0,$L$50)</f>
        <v>105090.909090909</v>
      </c>
      <c r="I18" s="169"/>
      <c r="J18" s="207" t="n">
        <f aca="false">+G18-E18</f>
        <v>90909.0909090909</v>
      </c>
      <c r="L18" s="235" t="n">
        <f aca="false">IF($C$6&gt;=7,E18,($C$1/$C$8)+E18)</f>
        <v>112181.818181818</v>
      </c>
      <c r="M18" s="235" t="n">
        <f aca="false">B18*E$2</f>
        <v>18181.8181818182</v>
      </c>
      <c r="N18" s="236" t="n">
        <f aca="false">M18*C$3</f>
        <v>3090.90909090909</v>
      </c>
    </row>
    <row r="19" customFormat="false" ht="15.75" hidden="false" customHeight="true" outlineLevel="0" collapsed="false">
      <c r="A19" s="233" t="n">
        <f aca="false">A18+1</f>
        <v>8</v>
      </c>
      <c r="B19" s="233" t="n">
        <f aca="false">B18-F18</f>
        <v>2636363.63636364</v>
      </c>
      <c r="C19" s="234" t="n">
        <f aca="false">+IF(M19&gt;=0,M19,0)</f>
        <v>17575.7575757576</v>
      </c>
      <c r="D19" s="234" t="n">
        <f aca="false">+IF(N19&gt;=0,N19,0)</f>
        <v>2987.87878787879</v>
      </c>
      <c r="E19" s="234" t="n">
        <f aca="false">+C19+D19</f>
        <v>20563.6363636364</v>
      </c>
      <c r="F19" s="234" t="n">
        <f aca="false">+IF(C19&gt;1,J19,0)</f>
        <v>90909.0909090909</v>
      </c>
      <c r="G19" s="234" t="n">
        <f aca="false">+IF(E19&gt;1,L19,0)</f>
        <v>111472.727272727</v>
      </c>
      <c r="H19" s="234" t="n">
        <f aca="false">IF(F19&lt;=0,0,$L$50)</f>
        <v>105090.909090909</v>
      </c>
      <c r="I19" s="169"/>
      <c r="J19" s="207" t="n">
        <f aca="false">+G19-E19</f>
        <v>90909.0909090909</v>
      </c>
      <c r="L19" s="235" t="n">
        <f aca="false">IF($C$6&gt;=8,E19,($C$1/$C$8)+E19)</f>
        <v>111472.727272727</v>
      </c>
      <c r="M19" s="235" t="n">
        <f aca="false">B19*E$2</f>
        <v>17575.7575757576</v>
      </c>
      <c r="N19" s="236" t="n">
        <f aca="false">M19*C$3</f>
        <v>2987.87878787879</v>
      </c>
    </row>
    <row r="20" customFormat="false" ht="15.75" hidden="false" customHeight="true" outlineLevel="0" collapsed="false">
      <c r="A20" s="233" t="n">
        <f aca="false">A19+1</f>
        <v>9</v>
      </c>
      <c r="B20" s="233" t="n">
        <f aca="false">B19-F19</f>
        <v>2545454.54545455</v>
      </c>
      <c r="C20" s="234" t="n">
        <f aca="false">+IF(M20&gt;=0,M20,0)</f>
        <v>16969.696969697</v>
      </c>
      <c r="D20" s="234" t="n">
        <f aca="false">+IF(N20&gt;=0,N20,0)</f>
        <v>2884.84848484849</v>
      </c>
      <c r="E20" s="234" t="n">
        <f aca="false">+C20+D20</f>
        <v>19854.5454545455</v>
      </c>
      <c r="F20" s="234" t="n">
        <f aca="false">+IF(C20&gt;1,J20,0)</f>
        <v>90909.0909090909</v>
      </c>
      <c r="G20" s="234" t="n">
        <f aca="false">+IF(E20&gt;1,L20,0)</f>
        <v>110763.636363636</v>
      </c>
      <c r="H20" s="234" t="n">
        <f aca="false">IF(F20&lt;=0,0,$L$50)</f>
        <v>105090.909090909</v>
      </c>
      <c r="I20" s="169"/>
      <c r="J20" s="207" t="n">
        <f aca="false">+G20-E20</f>
        <v>90909.0909090909</v>
      </c>
      <c r="L20" s="235" t="n">
        <f aca="false">IF($C$6&gt;=9,E20,($C$1/$C$8)+E20)</f>
        <v>110763.636363636</v>
      </c>
      <c r="M20" s="235" t="n">
        <f aca="false">B20*E$2</f>
        <v>16969.696969697</v>
      </c>
      <c r="N20" s="236" t="n">
        <f aca="false">M20*C$3</f>
        <v>2884.84848484849</v>
      </c>
    </row>
    <row r="21" customFormat="false" ht="15.75" hidden="false" customHeight="true" outlineLevel="0" collapsed="false">
      <c r="A21" s="233" t="n">
        <f aca="false">A20+1</f>
        <v>10</v>
      </c>
      <c r="B21" s="233" t="n">
        <f aca="false">B20-F20</f>
        <v>2454545.45454546</v>
      </c>
      <c r="C21" s="234" t="n">
        <f aca="false">+IF(M21&gt;=0,M21,0)</f>
        <v>16363.6363636364</v>
      </c>
      <c r="D21" s="234" t="n">
        <f aca="false">+IF(N21&gt;=0,N21,0)</f>
        <v>2781.81818181818</v>
      </c>
      <c r="E21" s="234" t="n">
        <f aca="false">+C21+D21</f>
        <v>19145.4545454546</v>
      </c>
      <c r="F21" s="234" t="n">
        <f aca="false">+IF(C21&gt;1,J21,0)</f>
        <v>90909.0909090909</v>
      </c>
      <c r="G21" s="234" t="n">
        <f aca="false">+IF(E21&gt;1,L21,0)</f>
        <v>110054.545454545</v>
      </c>
      <c r="H21" s="234" t="n">
        <f aca="false">IF(F21&lt;=0,0,$L$50)</f>
        <v>105090.909090909</v>
      </c>
      <c r="I21" s="169"/>
      <c r="J21" s="207" t="n">
        <f aca="false">+G21-E21</f>
        <v>90909.0909090909</v>
      </c>
      <c r="L21" s="235" t="n">
        <f aca="false">IF($C$6&gt;=10,E21,($C$1/$C$8)+E21)</f>
        <v>110054.545454545</v>
      </c>
      <c r="M21" s="235" t="n">
        <f aca="false">B21*E$2</f>
        <v>16363.6363636364</v>
      </c>
      <c r="N21" s="236" t="n">
        <f aca="false">M21*C$3</f>
        <v>2781.81818181818</v>
      </c>
    </row>
    <row r="22" customFormat="false" ht="15.75" hidden="false" customHeight="true" outlineLevel="0" collapsed="false">
      <c r="A22" s="233" t="n">
        <f aca="false">A21+1</f>
        <v>11</v>
      </c>
      <c r="B22" s="233" t="n">
        <f aca="false">B21-F21</f>
        <v>2363636.36363636</v>
      </c>
      <c r="C22" s="234" t="n">
        <f aca="false">+IF(M22&gt;=0,M22,0)</f>
        <v>15757.5757575758</v>
      </c>
      <c r="D22" s="234" t="n">
        <f aca="false">+IF(N22&gt;=0,N22,0)</f>
        <v>2678.78787878788</v>
      </c>
      <c r="E22" s="234" t="n">
        <f aca="false">+C22+D22</f>
        <v>18436.3636363636</v>
      </c>
      <c r="F22" s="234" t="n">
        <f aca="false">+IF(C22&gt;1,J22,0)</f>
        <v>90909.0909090909</v>
      </c>
      <c r="G22" s="234" t="n">
        <f aca="false">+IF(E22&gt;1,L22,0)</f>
        <v>109345.454545455</v>
      </c>
      <c r="H22" s="234" t="n">
        <f aca="false">IF(F22&lt;=0,0,$L$50)</f>
        <v>105090.909090909</v>
      </c>
      <c r="I22" s="169"/>
      <c r="J22" s="207" t="n">
        <f aca="false">+G22-E22</f>
        <v>90909.0909090909</v>
      </c>
      <c r="L22" s="235" t="n">
        <f aca="false">IF($C$6&gt;=11,E22,($C$1/$C$8)+E22)</f>
        <v>109345.454545455</v>
      </c>
      <c r="M22" s="235" t="n">
        <f aca="false">B22*E$2</f>
        <v>15757.5757575758</v>
      </c>
      <c r="N22" s="236" t="n">
        <f aca="false">M22*C$3</f>
        <v>2678.78787878788</v>
      </c>
    </row>
    <row r="23" customFormat="false" ht="15.75" hidden="false" customHeight="true" outlineLevel="0" collapsed="false">
      <c r="A23" s="237" t="n">
        <f aca="false">A22+1</f>
        <v>12</v>
      </c>
      <c r="B23" s="237" t="n">
        <f aca="false">B22-F22</f>
        <v>2272727.27272727</v>
      </c>
      <c r="C23" s="238" t="n">
        <f aca="false">+IF(M23&gt;=0,M23,0)</f>
        <v>15151.5151515152</v>
      </c>
      <c r="D23" s="238" t="n">
        <f aca="false">+IF(N23&gt;=0,N23,0)</f>
        <v>2575.75757575758</v>
      </c>
      <c r="E23" s="238" t="n">
        <f aca="false">+C23+D23</f>
        <v>17727.2727272727</v>
      </c>
      <c r="F23" s="238" t="n">
        <f aca="false">+IF(C23&gt;1,J23,0)</f>
        <v>90909.0909090909</v>
      </c>
      <c r="G23" s="238" t="n">
        <f aca="false">+IF(E23&gt;1,L23,0)</f>
        <v>108636.363636364</v>
      </c>
      <c r="H23" s="238" t="n">
        <f aca="false">IF(F23&lt;=0,0,$L$50)</f>
        <v>105090.909090909</v>
      </c>
      <c r="I23" s="169"/>
      <c r="J23" s="207" t="n">
        <f aca="false">+G23-E23</f>
        <v>90909.0909090909</v>
      </c>
      <c r="L23" s="239" t="n">
        <f aca="false">IF($C$6&gt;=12,E23,($C$1/$C$8)+E23)</f>
        <v>108636.363636364</v>
      </c>
      <c r="M23" s="239" t="n">
        <f aca="false">B23*E$2</f>
        <v>15151.5151515152</v>
      </c>
      <c r="N23" s="239" t="n">
        <f aca="false">M23*C$3</f>
        <v>2575.75757575758</v>
      </c>
    </row>
    <row r="24" customFormat="false" ht="15.75" hidden="false" customHeight="true" outlineLevel="0" collapsed="false">
      <c r="A24" s="233" t="n">
        <f aca="false">A23+1</f>
        <v>13</v>
      </c>
      <c r="B24" s="233" t="n">
        <f aca="false">B23-F23</f>
        <v>2181818.18181818</v>
      </c>
      <c r="C24" s="234" t="n">
        <f aca="false">+IF(M24&gt;=0,M24,0)</f>
        <v>14545.4545454546</v>
      </c>
      <c r="D24" s="234" t="n">
        <f aca="false">+IF(N24&gt;=0,N24,0)</f>
        <v>2472.72727272727</v>
      </c>
      <c r="E24" s="234" t="n">
        <f aca="false">+C24+D24</f>
        <v>17018.1818181818</v>
      </c>
      <c r="F24" s="234" t="n">
        <f aca="false">+IF(C24&gt;1,J24,0)</f>
        <v>90909.0909090909</v>
      </c>
      <c r="G24" s="234" t="n">
        <f aca="false">+IF(E24&gt;1,L24,0)</f>
        <v>107927.272727273</v>
      </c>
      <c r="H24" s="234" t="n">
        <f aca="false">IF(F24&lt;=0,0,$L$50)</f>
        <v>105090.909090909</v>
      </c>
      <c r="I24" s="169"/>
      <c r="J24" s="207" t="n">
        <f aca="false">+G24-E24</f>
        <v>90909.0909090909</v>
      </c>
      <c r="L24" s="235" t="n">
        <f aca="false">IF($C$6&gt;=13,E24,($C$1/$C$8)+E24)</f>
        <v>107927.272727273</v>
      </c>
      <c r="M24" s="235" t="n">
        <f aca="false">B24*E$2</f>
        <v>14545.4545454546</v>
      </c>
      <c r="N24" s="236" t="n">
        <f aca="false">M24*C$3</f>
        <v>2472.72727272727</v>
      </c>
    </row>
    <row r="25" customFormat="false" ht="15.75" hidden="false" customHeight="true" outlineLevel="0" collapsed="false">
      <c r="A25" s="233" t="n">
        <f aca="false">A24+1</f>
        <v>14</v>
      </c>
      <c r="B25" s="233" t="n">
        <f aca="false">B24-F24</f>
        <v>2090909.09090909</v>
      </c>
      <c r="C25" s="234" t="n">
        <f aca="false">+IF(M25&gt;=0,M25,0)</f>
        <v>13939.3939393939</v>
      </c>
      <c r="D25" s="234" t="n">
        <f aca="false">+IF(N25&gt;=0,N25,0)</f>
        <v>2369.69696969697</v>
      </c>
      <c r="E25" s="234" t="n">
        <f aca="false">+C25+D25</f>
        <v>16309.0909090909</v>
      </c>
      <c r="F25" s="234" t="n">
        <f aca="false">+IF(C25&gt;1,J25,0)</f>
        <v>90909.0909090909</v>
      </c>
      <c r="G25" s="234" t="n">
        <f aca="false">+IF(E25&gt;1,L25,0)</f>
        <v>107218.181818182</v>
      </c>
      <c r="H25" s="234" t="n">
        <f aca="false">IF(F25&lt;=0,0,$L$50)</f>
        <v>105090.909090909</v>
      </c>
      <c r="I25" s="169"/>
      <c r="J25" s="207" t="n">
        <f aca="false">+G25-E25</f>
        <v>90909.0909090909</v>
      </c>
      <c r="L25" s="235" t="n">
        <f aca="false">IF($C$6&gt;=14,E25,($C$1/$C$8)+E25)</f>
        <v>107218.181818182</v>
      </c>
      <c r="M25" s="235" t="n">
        <f aca="false">B25*E$2</f>
        <v>13939.3939393939</v>
      </c>
      <c r="N25" s="236" t="n">
        <f aca="false">M25*C$3</f>
        <v>2369.69696969697</v>
      </c>
    </row>
    <row r="26" customFormat="false" ht="15.75" hidden="false" customHeight="true" outlineLevel="0" collapsed="false">
      <c r="A26" s="233" t="n">
        <f aca="false">A25+1</f>
        <v>15</v>
      </c>
      <c r="B26" s="233" t="n">
        <f aca="false">B25-F25</f>
        <v>2000000</v>
      </c>
      <c r="C26" s="234" t="n">
        <f aca="false">+IF(M26&gt;=0,M26,0)</f>
        <v>13333.3333333333</v>
      </c>
      <c r="D26" s="234" t="n">
        <f aca="false">+IF(N26&gt;=0,N26,0)</f>
        <v>2266.66666666667</v>
      </c>
      <c r="E26" s="234" t="n">
        <f aca="false">+C26+D26</f>
        <v>15600</v>
      </c>
      <c r="F26" s="234" t="n">
        <f aca="false">+IF(C26&gt;1,J26,0)</f>
        <v>90909.0909090909</v>
      </c>
      <c r="G26" s="234" t="n">
        <f aca="false">+IF(E26&gt;1,L26,0)</f>
        <v>106509.090909091</v>
      </c>
      <c r="H26" s="234" t="n">
        <f aca="false">IF(F26&lt;=0,0,$L$50)</f>
        <v>105090.909090909</v>
      </c>
      <c r="I26" s="169"/>
      <c r="J26" s="207" t="n">
        <f aca="false">+G26-E26</f>
        <v>90909.0909090909</v>
      </c>
      <c r="L26" s="235" t="n">
        <f aca="false">IF($C$6&gt;=15,E26,($C$1/$C$8)+E26)</f>
        <v>106509.090909091</v>
      </c>
      <c r="M26" s="235" t="n">
        <f aca="false">B26*E$2</f>
        <v>13333.3333333333</v>
      </c>
      <c r="N26" s="236" t="n">
        <f aca="false">M26*C$3</f>
        <v>2266.66666666667</v>
      </c>
    </row>
    <row r="27" customFormat="false" ht="15.75" hidden="false" customHeight="true" outlineLevel="0" collapsed="false">
      <c r="A27" s="233" t="n">
        <f aca="false">A26+1</f>
        <v>16</v>
      </c>
      <c r="B27" s="233" t="n">
        <f aca="false">B26-F26</f>
        <v>1909090.90909091</v>
      </c>
      <c r="C27" s="234" t="n">
        <f aca="false">+IF(M27&gt;=0,M27,0)</f>
        <v>12727.2727272727</v>
      </c>
      <c r="D27" s="234" t="n">
        <f aca="false">+IF(N27&gt;=0,N27,0)</f>
        <v>2163.63636363637</v>
      </c>
      <c r="E27" s="234" t="n">
        <f aca="false">+C27+D27</f>
        <v>14890.9090909091</v>
      </c>
      <c r="F27" s="234" t="n">
        <f aca="false">+IF(C27&gt;1,J27,0)</f>
        <v>90909.0909090909</v>
      </c>
      <c r="G27" s="234" t="n">
        <f aca="false">+IF(E27&gt;1,L27,0)</f>
        <v>105800</v>
      </c>
      <c r="H27" s="234" t="n">
        <f aca="false">IF(F27&lt;=0,0,$L$50)</f>
        <v>105090.909090909</v>
      </c>
      <c r="I27" s="169"/>
      <c r="J27" s="207" t="n">
        <f aca="false">+G27-E27</f>
        <v>90909.0909090909</v>
      </c>
      <c r="L27" s="235" t="n">
        <f aca="false">IF($C$6&gt;=16,E27,($C$1/$C$8)+E27)</f>
        <v>105800</v>
      </c>
      <c r="M27" s="235" t="n">
        <f aca="false">B27*E$2</f>
        <v>12727.2727272727</v>
      </c>
      <c r="N27" s="236" t="n">
        <f aca="false">M27*C$3</f>
        <v>2163.63636363637</v>
      </c>
    </row>
    <row r="28" customFormat="false" ht="15.75" hidden="false" customHeight="true" outlineLevel="0" collapsed="false">
      <c r="A28" s="233" t="n">
        <f aca="false">A27+1</f>
        <v>17</v>
      </c>
      <c r="B28" s="233" t="n">
        <f aca="false">B27-F27</f>
        <v>1818181.81818182</v>
      </c>
      <c r="C28" s="234" t="n">
        <f aca="false">+IF(M28&gt;=0,M28,0)</f>
        <v>12121.2121212121</v>
      </c>
      <c r="D28" s="234" t="n">
        <f aca="false">+IF(N28&gt;=0,N28,0)</f>
        <v>2060.60606060606</v>
      </c>
      <c r="E28" s="234" t="n">
        <f aca="false">+C28+D28</f>
        <v>14181.8181818182</v>
      </c>
      <c r="F28" s="234" t="n">
        <f aca="false">+IF(C28&gt;1,J28,0)</f>
        <v>90909.0909090909</v>
      </c>
      <c r="G28" s="234" t="n">
        <f aca="false">+IF(E28&gt;1,L28,0)</f>
        <v>105090.909090909</v>
      </c>
      <c r="H28" s="234" t="n">
        <f aca="false">IF(F28&lt;=0,0,$L$50)</f>
        <v>105090.909090909</v>
      </c>
      <c r="I28" s="169"/>
      <c r="J28" s="207" t="n">
        <f aca="false">+G28-E28</f>
        <v>90909.0909090909</v>
      </c>
      <c r="L28" s="235" t="n">
        <f aca="false">IF($C$6&gt;=17,E28,($C$1/$C$8)+E28)</f>
        <v>105090.909090909</v>
      </c>
      <c r="M28" s="235" t="n">
        <f aca="false">B28*E$2</f>
        <v>12121.2121212121</v>
      </c>
      <c r="N28" s="236" t="n">
        <f aca="false">M28*C$3</f>
        <v>2060.60606060606</v>
      </c>
    </row>
    <row r="29" customFormat="false" ht="15.75" hidden="false" customHeight="true" outlineLevel="0" collapsed="false">
      <c r="A29" s="233" t="n">
        <f aca="false">A28+1</f>
        <v>18</v>
      </c>
      <c r="B29" s="233" t="n">
        <f aca="false">B28-F28</f>
        <v>1727272.72727273</v>
      </c>
      <c r="C29" s="234" t="n">
        <f aca="false">+IF(M29&gt;=0,M29,0)</f>
        <v>11515.1515151515</v>
      </c>
      <c r="D29" s="234" t="n">
        <f aca="false">+IF(N29&gt;=0,N29,0)</f>
        <v>1957.57575757576</v>
      </c>
      <c r="E29" s="234" t="n">
        <f aca="false">+C29+D29</f>
        <v>13472.7272727273</v>
      </c>
      <c r="F29" s="234" t="n">
        <f aca="false">+IF(C29&gt;1,J29,0)</f>
        <v>90909.0909090909</v>
      </c>
      <c r="G29" s="234" t="n">
        <f aca="false">+IF(E29&gt;1,L29,0)</f>
        <v>104381.818181818</v>
      </c>
      <c r="H29" s="234" t="n">
        <f aca="false">IF(F29&lt;=0,0,$L$50)</f>
        <v>105090.909090909</v>
      </c>
      <c r="I29" s="169"/>
      <c r="J29" s="207" t="n">
        <f aca="false">+G29-E29</f>
        <v>90909.0909090909</v>
      </c>
      <c r="L29" s="235" t="n">
        <f aca="false">IF($C$6&gt;=18,E29,($C$1/$C$8)+E29)</f>
        <v>104381.818181818</v>
      </c>
      <c r="M29" s="235" t="n">
        <f aca="false">B29*E$2</f>
        <v>11515.1515151515</v>
      </c>
      <c r="N29" s="236" t="n">
        <f aca="false">M29*C$3</f>
        <v>1957.57575757576</v>
      </c>
    </row>
    <row r="30" customFormat="false" ht="15.75" hidden="false" customHeight="true" outlineLevel="0" collapsed="false">
      <c r="A30" s="233" t="n">
        <f aca="false">A29+1</f>
        <v>19</v>
      </c>
      <c r="B30" s="233" t="n">
        <f aca="false">B29-F29</f>
        <v>1636363.63636364</v>
      </c>
      <c r="C30" s="234" t="n">
        <f aca="false">+IF(M30&gt;=0,M30,0)</f>
        <v>10909.0909090909</v>
      </c>
      <c r="D30" s="234" t="n">
        <f aca="false">+IF(N30&gt;=0,N30,0)</f>
        <v>1854.54545454546</v>
      </c>
      <c r="E30" s="234" t="n">
        <f aca="false">+C30+D30</f>
        <v>12763.6363636364</v>
      </c>
      <c r="F30" s="234" t="n">
        <f aca="false">+IF(C30&gt;1,J30,0)</f>
        <v>90909.0909090909</v>
      </c>
      <c r="G30" s="234" t="n">
        <f aca="false">+IF(E30&gt;1,L30,0)</f>
        <v>103672.727272727</v>
      </c>
      <c r="H30" s="234" t="n">
        <f aca="false">IF(F30&lt;=0,0,$L$50)</f>
        <v>105090.909090909</v>
      </c>
      <c r="I30" s="169"/>
      <c r="J30" s="207" t="n">
        <f aca="false">+G30-E30</f>
        <v>90909.0909090909</v>
      </c>
      <c r="L30" s="235" t="n">
        <f aca="false">IF($C$6&gt;=19,E30,($C$1/$C$8)+E30)</f>
        <v>103672.727272727</v>
      </c>
      <c r="M30" s="235" t="n">
        <f aca="false">B30*E$2</f>
        <v>10909.0909090909</v>
      </c>
      <c r="N30" s="236" t="n">
        <f aca="false">M30*C$3</f>
        <v>1854.54545454546</v>
      </c>
    </row>
    <row r="31" customFormat="false" ht="15.75" hidden="false" customHeight="true" outlineLevel="0" collapsed="false">
      <c r="A31" s="233" t="n">
        <f aca="false">A30+1</f>
        <v>20</v>
      </c>
      <c r="B31" s="233" t="n">
        <f aca="false">B30-F30</f>
        <v>1545454.54545455</v>
      </c>
      <c r="C31" s="234" t="n">
        <f aca="false">+IF(M31&gt;=0,M31,0)</f>
        <v>10303.0303030303</v>
      </c>
      <c r="D31" s="234" t="n">
        <f aca="false">+IF(N31&gt;=0,N31,0)</f>
        <v>1751.51515151515</v>
      </c>
      <c r="E31" s="234" t="n">
        <f aca="false">+C31+D31</f>
        <v>12054.5454545455</v>
      </c>
      <c r="F31" s="234" t="n">
        <f aca="false">+IF(C31&gt;1,J31,0)</f>
        <v>90909.0909090909</v>
      </c>
      <c r="G31" s="234" t="n">
        <f aca="false">+IF(E31&gt;1,L31,0)</f>
        <v>102963.636363636</v>
      </c>
      <c r="H31" s="234" t="n">
        <f aca="false">IF(F31&lt;=0,0,$L$50)</f>
        <v>105090.909090909</v>
      </c>
      <c r="I31" s="169"/>
      <c r="J31" s="207" t="n">
        <f aca="false">+G31-E31</f>
        <v>90909.0909090909</v>
      </c>
      <c r="L31" s="235" t="n">
        <f aca="false">IF($C$6&gt;=20,E31,($C$1/$C$8)+E31)</f>
        <v>102963.636363636</v>
      </c>
      <c r="M31" s="235" t="n">
        <f aca="false">B31*E$2</f>
        <v>10303.0303030303</v>
      </c>
      <c r="N31" s="236" t="n">
        <f aca="false">M31*C$3</f>
        <v>1751.51515151515</v>
      </c>
    </row>
    <row r="32" customFormat="false" ht="15.75" hidden="false" customHeight="true" outlineLevel="0" collapsed="false">
      <c r="A32" s="233" t="n">
        <f aca="false">A31+1</f>
        <v>21</v>
      </c>
      <c r="B32" s="233" t="n">
        <f aca="false">B31-F31</f>
        <v>1454545.45454546</v>
      </c>
      <c r="C32" s="234" t="n">
        <f aca="false">+IF(M32&gt;=0,M32,0)</f>
        <v>9696.96969696971</v>
      </c>
      <c r="D32" s="234" t="n">
        <f aca="false">+IF(N32&gt;=0,N32,0)</f>
        <v>1648.48484848485</v>
      </c>
      <c r="E32" s="234" t="n">
        <f aca="false">+C32+D32</f>
        <v>11345.4545454546</v>
      </c>
      <c r="F32" s="234" t="n">
        <f aca="false">+IF(C32&gt;1,J32,0)</f>
        <v>90909.0909090909</v>
      </c>
      <c r="G32" s="234" t="n">
        <f aca="false">+IF(E32&gt;1,L32,0)</f>
        <v>102254.545454545</v>
      </c>
      <c r="H32" s="234" t="n">
        <f aca="false">IF(F32&lt;=0,0,$L$50)</f>
        <v>105090.909090909</v>
      </c>
      <c r="I32" s="169"/>
      <c r="J32" s="207" t="n">
        <f aca="false">+G32-E32</f>
        <v>90909.0909090909</v>
      </c>
      <c r="L32" s="235" t="n">
        <f aca="false">IF($C$6&gt;=21,E32,($C$1/$C$8)+E32)</f>
        <v>102254.545454545</v>
      </c>
      <c r="M32" s="235" t="n">
        <f aca="false">B32*E$2</f>
        <v>9696.96969696971</v>
      </c>
      <c r="N32" s="236" t="n">
        <f aca="false">M32*C$3</f>
        <v>1648.48484848485</v>
      </c>
    </row>
    <row r="33" customFormat="false" ht="15.75" hidden="false" customHeight="true" outlineLevel="0" collapsed="false">
      <c r="A33" s="233" t="n">
        <f aca="false">A32+1</f>
        <v>22</v>
      </c>
      <c r="B33" s="233" t="n">
        <f aca="false">B32-F32</f>
        <v>1363636.36363637</v>
      </c>
      <c r="C33" s="234" t="n">
        <f aca="false">+IF(M33&gt;=0,M33,0)</f>
        <v>9090.9090909091</v>
      </c>
      <c r="D33" s="234" t="n">
        <f aca="false">+IF(N33&gt;=0,N33,0)</f>
        <v>1545.45454545455</v>
      </c>
      <c r="E33" s="234" t="n">
        <f aca="false">+C33+D33</f>
        <v>10636.3636363636</v>
      </c>
      <c r="F33" s="234" t="n">
        <f aca="false">+IF(C33&gt;1,J33,0)</f>
        <v>90909.0909090909</v>
      </c>
      <c r="G33" s="234" t="n">
        <f aca="false">+IF(E33&gt;1,L33,0)</f>
        <v>101545.454545455</v>
      </c>
      <c r="H33" s="234" t="n">
        <f aca="false">IF(F33&lt;=0,0,$L$50)</f>
        <v>105090.909090909</v>
      </c>
      <c r="I33" s="169"/>
      <c r="J33" s="207" t="n">
        <f aca="false">+G33-E33</f>
        <v>90909.0909090909</v>
      </c>
      <c r="L33" s="235" t="n">
        <f aca="false">IF($C$6&gt;=22,E33,($C$1/$C$8)+E33)</f>
        <v>101545.454545455</v>
      </c>
      <c r="M33" s="235" t="n">
        <f aca="false">B33*E$2</f>
        <v>9090.9090909091</v>
      </c>
      <c r="N33" s="236" t="n">
        <f aca="false">M33*C$3</f>
        <v>1545.45454545455</v>
      </c>
    </row>
    <row r="34" customFormat="false" ht="15.75" hidden="false" customHeight="true" outlineLevel="0" collapsed="false">
      <c r="A34" s="233" t="n">
        <f aca="false">A33+1</f>
        <v>23</v>
      </c>
      <c r="B34" s="233" t="n">
        <f aca="false">B33-F33</f>
        <v>1272727.27272727</v>
      </c>
      <c r="C34" s="234" t="n">
        <f aca="false">+IF(M34&gt;=0,M34,0)</f>
        <v>8484.8484848485</v>
      </c>
      <c r="D34" s="234" t="n">
        <f aca="false">+IF(N34&gt;=0,N34,0)</f>
        <v>1442.42424242424</v>
      </c>
      <c r="E34" s="234" t="n">
        <f aca="false">+C34+D34</f>
        <v>9927.27272727274</v>
      </c>
      <c r="F34" s="234" t="n">
        <f aca="false">+IF(C34&gt;1,J34,0)</f>
        <v>90909.0909090909</v>
      </c>
      <c r="G34" s="234" t="n">
        <f aca="false">+IF(E34&gt;1,L34,0)</f>
        <v>100836.363636364</v>
      </c>
      <c r="H34" s="234" t="n">
        <f aca="false">IF(F34&lt;=0,0,$L$50)</f>
        <v>105090.909090909</v>
      </c>
      <c r="I34" s="169"/>
      <c r="J34" s="207" t="n">
        <f aca="false">+G34-E34</f>
        <v>90909.0909090909</v>
      </c>
      <c r="L34" s="235" t="n">
        <f aca="false">IF($C$6&gt;=23,E34,($C$1/$C$8)+E34)</f>
        <v>100836.363636364</v>
      </c>
      <c r="M34" s="235" t="n">
        <f aca="false">B34*E$2</f>
        <v>8484.8484848485</v>
      </c>
      <c r="N34" s="236" t="n">
        <f aca="false">M34*C$3</f>
        <v>1442.42424242424</v>
      </c>
    </row>
    <row r="35" customFormat="false" ht="15.75" hidden="false" customHeight="true" outlineLevel="0" collapsed="false">
      <c r="A35" s="237" t="n">
        <f aca="false">A34+1</f>
        <v>24</v>
      </c>
      <c r="B35" s="237" t="n">
        <f aca="false">B34-F34</f>
        <v>1181818.18181818</v>
      </c>
      <c r="C35" s="238" t="n">
        <f aca="false">+IF(M35&gt;=0,M35,0)</f>
        <v>7878.78787878789</v>
      </c>
      <c r="D35" s="238" t="n">
        <f aca="false">+IF(N35&gt;=0,N35,0)</f>
        <v>1339.39393939394</v>
      </c>
      <c r="E35" s="238" t="n">
        <f aca="false">+C35+D35</f>
        <v>9218.18181818183</v>
      </c>
      <c r="F35" s="238" t="n">
        <f aca="false">+IF(C35&gt;1,J35,0)</f>
        <v>90909.0909090909</v>
      </c>
      <c r="G35" s="238" t="n">
        <f aca="false">+IF(E35&gt;1,L35,0)</f>
        <v>100127.272727273</v>
      </c>
      <c r="H35" s="238" t="n">
        <f aca="false">IF(F35&lt;=0,0,$L$50)</f>
        <v>105090.909090909</v>
      </c>
      <c r="I35" s="169"/>
      <c r="J35" s="207" t="n">
        <f aca="false">+G35-E35</f>
        <v>90909.0909090909</v>
      </c>
      <c r="L35" s="239" t="n">
        <f aca="false">IF($C$6&gt;=24,E35,($C$1/$C$8)+E35)</f>
        <v>100127.272727273</v>
      </c>
      <c r="M35" s="239" t="n">
        <f aca="false">B35*E$2</f>
        <v>7878.78787878789</v>
      </c>
      <c r="N35" s="239" t="n">
        <f aca="false">M35*C$3</f>
        <v>1339.39393939394</v>
      </c>
    </row>
    <row r="36" customFormat="false" ht="15.75" hidden="false" customHeight="true" outlineLevel="0" collapsed="false">
      <c r="A36" s="233" t="n">
        <f aca="false">A35+1</f>
        <v>25</v>
      </c>
      <c r="B36" s="233" t="n">
        <f aca="false">B35-F35</f>
        <v>1090909.09090909</v>
      </c>
      <c r="C36" s="234" t="n">
        <f aca="false">+IF(M36&gt;=0,M36,0)</f>
        <v>7272.72727272729</v>
      </c>
      <c r="D36" s="234" t="n">
        <f aca="false">+IF(N36&gt;=0,N36,0)</f>
        <v>1236.36363636364</v>
      </c>
      <c r="E36" s="234" t="n">
        <f aca="false">+C36+D36</f>
        <v>8509.09090909092</v>
      </c>
      <c r="F36" s="234" t="n">
        <f aca="false">+IF(C36&gt;1,J36,0)</f>
        <v>90909.0909090909</v>
      </c>
      <c r="G36" s="234" t="n">
        <f aca="false">+IF(E36&gt;1,L36,0)</f>
        <v>99418.1818181818</v>
      </c>
      <c r="H36" s="234" t="n">
        <f aca="false">IF(F36&lt;=0,0,$L$50)</f>
        <v>105090.909090909</v>
      </c>
      <c r="I36" s="169"/>
      <c r="J36" s="207" t="n">
        <f aca="false">+G36-E36</f>
        <v>90909.0909090909</v>
      </c>
      <c r="L36" s="235" t="n">
        <f aca="false">IF($C$6&gt;=25,E36,($C$1/$C$8)+E36)</f>
        <v>99418.1818181818</v>
      </c>
      <c r="M36" s="235" t="n">
        <f aca="false">B36*E$2</f>
        <v>7272.72727272729</v>
      </c>
      <c r="N36" s="236" t="n">
        <f aca="false">M36*C$3</f>
        <v>1236.36363636364</v>
      </c>
    </row>
    <row r="37" customFormat="false" ht="15.75" hidden="false" customHeight="true" outlineLevel="0" collapsed="false">
      <c r="A37" s="233" t="n">
        <f aca="false">A36+1</f>
        <v>26</v>
      </c>
      <c r="B37" s="233" t="n">
        <f aca="false">B36-F36</f>
        <v>1000000</v>
      </c>
      <c r="C37" s="234" t="n">
        <f aca="false">+IF(M37&gt;=0,M37,0)</f>
        <v>6666.66666666668</v>
      </c>
      <c r="D37" s="234" t="n">
        <f aca="false">+IF(N37&gt;=0,N37,0)</f>
        <v>1133.33333333334</v>
      </c>
      <c r="E37" s="234" t="n">
        <f aca="false">+C37+D37</f>
        <v>7800.00000000002</v>
      </c>
      <c r="F37" s="234" t="n">
        <f aca="false">+IF(C37&gt;1,J37,0)</f>
        <v>90909.0909090909</v>
      </c>
      <c r="G37" s="234" t="n">
        <f aca="false">+IF(E37&gt;1,L37,0)</f>
        <v>98709.0909090909</v>
      </c>
      <c r="H37" s="234" t="n">
        <f aca="false">IF(F37&lt;=0,0,$L$50)</f>
        <v>105090.909090909</v>
      </c>
      <c r="I37" s="169"/>
      <c r="J37" s="207" t="n">
        <f aca="false">+G37-E37</f>
        <v>90909.0909090909</v>
      </c>
      <c r="L37" s="235" t="n">
        <f aca="false">IF($C$6&gt;=26,E37,($C$1/$C$8)+E37)</f>
        <v>98709.0909090909</v>
      </c>
      <c r="M37" s="235" t="n">
        <f aca="false">B37*E$2</f>
        <v>6666.66666666668</v>
      </c>
      <c r="N37" s="236" t="n">
        <f aca="false">M37*C$3</f>
        <v>1133.33333333334</v>
      </c>
    </row>
    <row r="38" customFormat="false" ht="15.75" hidden="false" customHeight="true" outlineLevel="0" collapsed="false">
      <c r="A38" s="233" t="n">
        <f aca="false">A37+1</f>
        <v>27</v>
      </c>
      <c r="B38" s="233" t="n">
        <f aca="false">B37-F37</f>
        <v>909090.909090911</v>
      </c>
      <c r="C38" s="234" t="n">
        <f aca="false">+IF(M38&gt;=0,M38,0)</f>
        <v>6060.60606060607</v>
      </c>
      <c r="D38" s="234" t="n">
        <f aca="false">+IF(N38&gt;=0,N38,0)</f>
        <v>1030.30303030303</v>
      </c>
      <c r="E38" s="234" t="n">
        <f aca="false">+C38+D38</f>
        <v>7090.90909090911</v>
      </c>
      <c r="F38" s="234" t="n">
        <f aca="false">+IF(C38&gt;1,J38,0)</f>
        <v>90909.0909090909</v>
      </c>
      <c r="G38" s="234" t="n">
        <f aca="false">+IF(E38&gt;1,L38,0)</f>
        <v>98000</v>
      </c>
      <c r="H38" s="234" t="n">
        <f aca="false">IF(F38&lt;=0,0,$L$50)</f>
        <v>105090.909090909</v>
      </c>
      <c r="I38" s="169"/>
      <c r="J38" s="207" t="n">
        <f aca="false">+G38-E38</f>
        <v>90909.0909090909</v>
      </c>
      <c r="L38" s="235" t="n">
        <f aca="false">IF($C$6&gt;=27,E38,($C$1/$C$8)+E38)</f>
        <v>98000</v>
      </c>
      <c r="M38" s="235" t="n">
        <f aca="false">B38*E$2</f>
        <v>6060.60606060607</v>
      </c>
      <c r="N38" s="236" t="n">
        <f aca="false">M38*C$3</f>
        <v>1030.30303030303</v>
      </c>
    </row>
    <row r="39" customFormat="false" ht="15.75" hidden="false" customHeight="true" outlineLevel="0" collapsed="false">
      <c r="A39" s="233" t="n">
        <f aca="false">A38+1</f>
        <v>28</v>
      </c>
      <c r="B39" s="233" t="n">
        <f aca="false">B38-F38</f>
        <v>818181.81818182</v>
      </c>
      <c r="C39" s="234" t="n">
        <f aca="false">+IF(M39&gt;=0,M39,0)</f>
        <v>5454.54545454547</v>
      </c>
      <c r="D39" s="234" t="n">
        <f aca="false">+IF(N39&gt;=0,N39,0)</f>
        <v>927.272727272729</v>
      </c>
      <c r="E39" s="234" t="n">
        <f aca="false">+C39+D39</f>
        <v>6381.8181818182</v>
      </c>
      <c r="F39" s="234" t="n">
        <f aca="false">+IF(C39&gt;1,J39,0)</f>
        <v>90909.0909090909</v>
      </c>
      <c r="G39" s="234" t="n">
        <f aca="false">+IF(E39&gt;1,L39,0)</f>
        <v>97290.9090909091</v>
      </c>
      <c r="H39" s="234" t="n">
        <f aca="false">IF(F39&lt;=0,0,$L$50)</f>
        <v>105090.909090909</v>
      </c>
      <c r="I39" s="169"/>
      <c r="J39" s="207" t="n">
        <f aca="false">+G39-E39</f>
        <v>90909.0909090909</v>
      </c>
      <c r="L39" s="235" t="n">
        <f aca="false">IF($C$6&gt;=28,E39,($C$1/$C$8)+E39)</f>
        <v>97290.9090909091</v>
      </c>
      <c r="M39" s="235" t="n">
        <f aca="false">B39*E$2</f>
        <v>5454.54545454547</v>
      </c>
      <c r="N39" s="236" t="n">
        <f aca="false">M39*C$3</f>
        <v>927.272727272729</v>
      </c>
    </row>
    <row r="40" customFormat="false" ht="15.75" hidden="false" customHeight="true" outlineLevel="0" collapsed="false">
      <c r="A40" s="233" t="n">
        <f aca="false">A39+1</f>
        <v>29</v>
      </c>
      <c r="B40" s="233" t="n">
        <f aca="false">B39-F39</f>
        <v>727272.727272729</v>
      </c>
      <c r="C40" s="234" t="n">
        <f aca="false">+IF(M40&gt;=0,M40,0)</f>
        <v>4848.48484848486</v>
      </c>
      <c r="D40" s="234" t="n">
        <f aca="false">+IF(N40&gt;=0,N40,0)</f>
        <v>824.242424242426</v>
      </c>
      <c r="E40" s="234" t="n">
        <f aca="false">+C40+D40</f>
        <v>5672.72727272729</v>
      </c>
      <c r="F40" s="234" t="n">
        <f aca="false">+IF(C40&gt;1,J40,0)</f>
        <v>90909.0909090909</v>
      </c>
      <c r="G40" s="234" t="n">
        <f aca="false">+IF(E40&gt;1,L40,0)</f>
        <v>96581.8181818182</v>
      </c>
      <c r="H40" s="234" t="n">
        <f aca="false">IF(F40&lt;=0,0,$L$50)</f>
        <v>105090.909090909</v>
      </c>
      <c r="I40" s="169"/>
      <c r="J40" s="207" t="n">
        <f aca="false">+G40-E40</f>
        <v>90909.0909090909</v>
      </c>
      <c r="L40" s="235" t="n">
        <f aca="false">IF($C$6&gt;=29,E40,($C$1/$C$8)+E40)</f>
        <v>96581.8181818182</v>
      </c>
      <c r="M40" s="235" t="n">
        <f aca="false">B40*E$2</f>
        <v>4848.48484848486</v>
      </c>
      <c r="N40" s="236" t="n">
        <f aca="false">M40*C$3</f>
        <v>824.242424242426</v>
      </c>
    </row>
    <row r="41" customFormat="false" ht="15.75" hidden="false" customHeight="true" outlineLevel="0" collapsed="false">
      <c r="A41" s="233" t="n">
        <f aca="false">A40+1</f>
        <v>30</v>
      </c>
      <c r="B41" s="233" t="n">
        <f aca="false">B40-F40</f>
        <v>636363.636363638</v>
      </c>
      <c r="C41" s="234" t="n">
        <f aca="false">+IF(M41&gt;=0,M41,0)</f>
        <v>4242.42424242425</v>
      </c>
      <c r="D41" s="234" t="n">
        <f aca="false">+IF(N41&gt;=0,N41,0)</f>
        <v>721.212121212123</v>
      </c>
      <c r="E41" s="234" t="n">
        <f aca="false">+C41+D41</f>
        <v>4963.63636363638</v>
      </c>
      <c r="F41" s="234" t="n">
        <f aca="false">+IF(C41&gt;1,J41,0)</f>
        <v>90909.0909090909</v>
      </c>
      <c r="G41" s="234" t="n">
        <f aca="false">+IF(E41&gt;1,L41,0)</f>
        <v>95872.7272727273</v>
      </c>
      <c r="H41" s="234" t="n">
        <f aca="false">IF(F41&lt;=0,0,$L$50)</f>
        <v>105090.909090909</v>
      </c>
      <c r="I41" s="169"/>
      <c r="J41" s="207" t="n">
        <f aca="false">+G41-E41</f>
        <v>90909.0909090909</v>
      </c>
      <c r="L41" s="235" t="n">
        <f aca="false">IF($C$6&gt;=30,E41,($C$1/$C$8)+E41)</f>
        <v>95872.7272727273</v>
      </c>
      <c r="M41" s="235" t="n">
        <f aca="false">B41*E$2</f>
        <v>4242.42424242425</v>
      </c>
      <c r="N41" s="236" t="n">
        <f aca="false">M41*C$3</f>
        <v>721.212121212123</v>
      </c>
    </row>
    <row r="42" customFormat="false" ht="15.75" hidden="false" customHeight="true" outlineLevel="0" collapsed="false">
      <c r="A42" s="233" t="n">
        <f aca="false">A41+1</f>
        <v>31</v>
      </c>
      <c r="B42" s="233" t="n">
        <f aca="false">B41-F41</f>
        <v>545454.545454547</v>
      </c>
      <c r="C42" s="234" t="n">
        <f aca="false">+IF(M42&gt;=0,M42,0)</f>
        <v>3636.36363636365</v>
      </c>
      <c r="D42" s="234" t="n">
        <f aca="false">+IF(N42&gt;=0,N42,0)</f>
        <v>618.18181818182</v>
      </c>
      <c r="E42" s="234" t="n">
        <f aca="false">+C42+D42</f>
        <v>4254.54545454547</v>
      </c>
      <c r="F42" s="234" t="n">
        <f aca="false">+IF(C42&gt;1,J42,0)</f>
        <v>90909.0909090909</v>
      </c>
      <c r="G42" s="234" t="n">
        <f aca="false">+IF(E42&gt;1,L42,0)</f>
        <v>95163.6363636364</v>
      </c>
      <c r="H42" s="234" t="n">
        <f aca="false">IF(F42&lt;=0,0,$L$50)</f>
        <v>105090.909090909</v>
      </c>
      <c r="I42" s="169"/>
      <c r="J42" s="207" t="n">
        <f aca="false">+G42-E42</f>
        <v>90909.0909090909</v>
      </c>
      <c r="L42" s="235" t="n">
        <f aca="false">IF($C$6&gt;=31,E42,($C$1/$C$8)+E42)</f>
        <v>95163.6363636364</v>
      </c>
      <c r="M42" s="235" t="n">
        <f aca="false">B42*E$2</f>
        <v>3636.36363636365</v>
      </c>
      <c r="N42" s="236" t="n">
        <f aca="false">M42*C$3</f>
        <v>618.18181818182</v>
      </c>
    </row>
    <row r="43" customFormat="false" ht="15.75" hidden="false" customHeight="true" outlineLevel="0" collapsed="false">
      <c r="A43" s="233" t="n">
        <f aca="false">A42+1</f>
        <v>32</v>
      </c>
      <c r="B43" s="233" t="n">
        <f aca="false">B42-F42</f>
        <v>454545.454545456</v>
      </c>
      <c r="C43" s="234" t="n">
        <f aca="false">+IF(M43&gt;=0,M43,0)</f>
        <v>3030.30303030304</v>
      </c>
      <c r="D43" s="234" t="n">
        <f aca="false">+IF(N43&gt;=0,N43,0)</f>
        <v>515.151515151517</v>
      </c>
      <c r="E43" s="234" t="n">
        <f aca="false">+C43+D43</f>
        <v>3545.45454545456</v>
      </c>
      <c r="F43" s="234" t="n">
        <f aca="false">+IF(C43&gt;1,J43,0)</f>
        <v>90909.0909090909</v>
      </c>
      <c r="G43" s="234" t="n">
        <f aca="false">+IF(E43&gt;1,L43,0)</f>
        <v>94454.5454545455</v>
      </c>
      <c r="H43" s="234" t="n">
        <f aca="false">IF(F43&lt;=0,0,$L$50)</f>
        <v>105090.909090909</v>
      </c>
      <c r="I43" s="169"/>
      <c r="J43" s="207" t="n">
        <f aca="false">+G43-E43</f>
        <v>90909.0909090909</v>
      </c>
      <c r="L43" s="235" t="n">
        <f aca="false">IF($C$6&gt;=32,E43,($C$1/$C$8)+E43)</f>
        <v>94454.5454545455</v>
      </c>
      <c r="M43" s="235" t="n">
        <f aca="false">B43*E$2</f>
        <v>3030.30303030304</v>
      </c>
      <c r="N43" s="236" t="n">
        <f aca="false">M43*C$3</f>
        <v>515.151515151517</v>
      </c>
    </row>
    <row r="44" customFormat="false" ht="15.75" hidden="false" customHeight="true" outlineLevel="0" collapsed="false">
      <c r="A44" s="233" t="n">
        <f aca="false">A43+1</f>
        <v>33</v>
      </c>
      <c r="B44" s="233" t="n">
        <f aca="false">B43-F43</f>
        <v>363636.363636365</v>
      </c>
      <c r="C44" s="234" t="n">
        <f aca="false">+IF(M44&gt;=0,M44,0)</f>
        <v>2424.24242424243</v>
      </c>
      <c r="D44" s="234" t="n">
        <f aca="false">+IF(N44&gt;=0,N44,0)</f>
        <v>412.121212121214</v>
      </c>
      <c r="E44" s="234" t="n">
        <f aca="false">+C44+D44</f>
        <v>2836.36363636365</v>
      </c>
      <c r="F44" s="234" t="n">
        <f aca="false">+IF(C44&gt;1,J44,0)</f>
        <v>90909.0909090909</v>
      </c>
      <c r="G44" s="234" t="n">
        <f aca="false">+IF(E44&gt;1,L44,0)</f>
        <v>93745.4545454546</v>
      </c>
      <c r="H44" s="234" t="n">
        <f aca="false">IF(F44&lt;=0,0,$L$50)</f>
        <v>105090.909090909</v>
      </c>
      <c r="I44" s="169"/>
      <c r="J44" s="207" t="n">
        <f aca="false">+G44-E44</f>
        <v>90909.0909090909</v>
      </c>
      <c r="L44" s="235" t="n">
        <f aca="false">IF($C$6&gt;=33,E44,($C$1/$C$8)+E44)</f>
        <v>93745.4545454546</v>
      </c>
      <c r="M44" s="235" t="n">
        <f aca="false">B44*E$2</f>
        <v>2424.24242424243</v>
      </c>
      <c r="N44" s="236" t="n">
        <f aca="false">M44*C$3</f>
        <v>412.121212121214</v>
      </c>
    </row>
    <row r="45" customFormat="false" ht="15.75" hidden="false" customHeight="true" outlineLevel="0" collapsed="false">
      <c r="A45" s="233" t="n">
        <f aca="false">A44+1</f>
        <v>34</v>
      </c>
      <c r="B45" s="233" t="n">
        <f aca="false">B44-F44</f>
        <v>272727.272727274</v>
      </c>
      <c r="C45" s="234" t="n">
        <f aca="false">+IF(M45&gt;=0,M45,0)</f>
        <v>1818.18181818183</v>
      </c>
      <c r="D45" s="234" t="n">
        <f aca="false">+IF(N45&gt;=0,N45,0)</f>
        <v>309.090909090911</v>
      </c>
      <c r="E45" s="234" t="n">
        <f aca="false">+C45+D45</f>
        <v>2127.27272727274</v>
      </c>
      <c r="F45" s="234" t="n">
        <f aca="false">+IF(C45&gt;1,J45,0)</f>
        <v>90909.0909090909</v>
      </c>
      <c r="G45" s="234" t="n">
        <f aca="false">+IF(E45&gt;1,L45,0)</f>
        <v>93036.3636363637</v>
      </c>
      <c r="H45" s="234" t="n">
        <f aca="false">IF(F45&lt;=0,0,$L$50)</f>
        <v>105090.909090909</v>
      </c>
      <c r="I45" s="169"/>
      <c r="J45" s="207" t="n">
        <f aca="false">+G45-E45</f>
        <v>90909.0909090909</v>
      </c>
      <c r="L45" s="235" t="n">
        <f aca="false">IF($C$6&gt;=34,E45,($C$1/$C$8)+E45)</f>
        <v>93036.3636363637</v>
      </c>
      <c r="M45" s="235" t="n">
        <f aca="false">B45*E$2</f>
        <v>1818.18181818183</v>
      </c>
      <c r="N45" s="236" t="n">
        <f aca="false">M45*C$3</f>
        <v>309.090909090911</v>
      </c>
    </row>
    <row r="46" customFormat="false" ht="15.75" hidden="false" customHeight="true" outlineLevel="0" collapsed="false">
      <c r="A46" s="233" t="n">
        <f aca="false">A45+1</f>
        <v>35</v>
      </c>
      <c r="B46" s="233" t="n">
        <f aca="false">B45-F45</f>
        <v>181818.181818183</v>
      </c>
      <c r="C46" s="234" t="n">
        <f aca="false">+IF(M46&gt;=0,M46,0)</f>
        <v>1212.12121212122</v>
      </c>
      <c r="D46" s="234" t="n">
        <f aca="false">+IF(N46&gt;=0,N46,0)</f>
        <v>206.060606060608</v>
      </c>
      <c r="E46" s="234" t="n">
        <f aca="false">+C46+D46</f>
        <v>1418.18181818183</v>
      </c>
      <c r="F46" s="234" t="n">
        <f aca="false">+IF(C46&gt;1,J46,0)</f>
        <v>90909.0909090909</v>
      </c>
      <c r="G46" s="234" t="n">
        <f aca="false">+IF(E46&gt;1,L46,0)</f>
        <v>92327.2727272727</v>
      </c>
      <c r="H46" s="234" t="n">
        <f aca="false">IF(F46&lt;=0,0,$L$50)</f>
        <v>105090.909090909</v>
      </c>
      <c r="I46" s="169"/>
      <c r="J46" s="207" t="n">
        <f aca="false">+G46-E46</f>
        <v>90909.0909090909</v>
      </c>
      <c r="L46" s="235" t="n">
        <f aca="false">IF($C$6&gt;=35,E46,($C$1/$C$8)+E46)</f>
        <v>92327.2727272727</v>
      </c>
      <c r="M46" s="235" t="n">
        <f aca="false">B46*E$2</f>
        <v>1212.12121212122</v>
      </c>
      <c r="N46" s="236" t="n">
        <f aca="false">M46*C$3</f>
        <v>206.060606060608</v>
      </c>
    </row>
    <row r="47" customFormat="false" ht="15.75" hidden="false" customHeight="true" outlineLevel="0" collapsed="false">
      <c r="A47" s="237" t="n">
        <f aca="false">A46+1</f>
        <v>36</v>
      </c>
      <c r="B47" s="237" t="n">
        <f aca="false">B46-F46</f>
        <v>90909.0909090924</v>
      </c>
      <c r="C47" s="238" t="n">
        <f aca="false">+IF(M47&gt;=0,M47,0)</f>
        <v>606.060606060616</v>
      </c>
      <c r="D47" s="238" t="n">
        <f aca="false">+IF(N47&gt;=0,N47,0)</f>
        <v>103.030303030305</v>
      </c>
      <c r="E47" s="238" t="n">
        <f aca="false">+C47+D47</f>
        <v>709.090909090921</v>
      </c>
      <c r="F47" s="238" t="n">
        <f aca="false">+IF(C47&gt;1,J47,0)</f>
        <v>90909.0909090909</v>
      </c>
      <c r="G47" s="238" t="n">
        <f aca="false">+IF(E47&gt;1,L47,0)</f>
        <v>91618.1818181818</v>
      </c>
      <c r="H47" s="238" t="n">
        <f aca="false">IF(F47&lt;=0,0,$L$50)</f>
        <v>105090.909090909</v>
      </c>
      <c r="I47" s="169"/>
      <c r="J47" s="207" t="n">
        <f aca="false">+G47-E47</f>
        <v>90909.0909090909</v>
      </c>
      <c r="L47" s="239" t="n">
        <f aca="false">IF($C$6&gt;=36,E47,($C$1/$C$8)+E47)</f>
        <v>91618.1818181818</v>
      </c>
      <c r="M47" s="239" t="n">
        <f aca="false">B47*E$2</f>
        <v>606.060606060616</v>
      </c>
      <c r="N47" s="239" t="n">
        <f aca="false">M47*C$3</f>
        <v>103.030303030305</v>
      </c>
    </row>
    <row r="48" customFormat="false" ht="15.75" hidden="false" customHeight="true" outlineLevel="0" collapsed="false">
      <c r="A48" s="240" t="s">
        <v>90</v>
      </c>
      <c r="B48" s="241"/>
      <c r="C48" s="241"/>
      <c r="D48" s="240"/>
      <c r="E48" s="240" t="n">
        <f aca="false">SUM(E12:E47)</f>
        <v>468000</v>
      </c>
      <c r="F48" s="240" t="n">
        <f aca="false">SUM(F12:F47)</f>
        <v>3000000</v>
      </c>
      <c r="G48" s="240" t="n">
        <f aca="false">SUM(G12:G47)</f>
        <v>3468000</v>
      </c>
      <c r="H48" s="240" t="n">
        <f aca="false">SUM(H12:H47)</f>
        <v>3468000</v>
      </c>
      <c r="I48" s="169"/>
      <c r="L48" s="242" t="n">
        <f aca="false">SUM(L12:L47)</f>
        <v>3468000</v>
      </c>
      <c r="M48" s="242" t="n">
        <f aca="false">SUM(M12:M47)</f>
        <v>400000</v>
      </c>
      <c r="N48" s="242" t="n">
        <f aca="false">SUM(N12:N47)</f>
        <v>68000.0000000001</v>
      </c>
    </row>
    <row r="49" customFormat="false" ht="15" hidden="false" customHeight="true" outlineLevel="0" collapsed="false">
      <c r="A49" s="169"/>
      <c r="B49" s="169"/>
      <c r="C49" s="169"/>
      <c r="D49" s="169"/>
      <c r="E49" s="170"/>
      <c r="F49" s="170"/>
      <c r="G49" s="170"/>
      <c r="H49" s="170"/>
      <c r="I49" s="169"/>
      <c r="L49" s="169"/>
      <c r="M49" s="169"/>
      <c r="N49" s="169"/>
    </row>
    <row r="50" customFormat="false" ht="15" hidden="false" customHeight="true" outlineLevel="0" collapsed="false">
      <c r="E50" s="243"/>
      <c r="L50" s="207" t="n">
        <f aca="false">+G48/C8</f>
        <v>105090.909090909</v>
      </c>
    </row>
  </sheetData>
  <sheetProtection algorithmName="SHA-512" hashValue="qW2cAlbBV9Jx91mul0VtJNAQ+9L2npC3VLfD08Wwvf59Ylk/BUHgSdXsYiWtoPFOjAocJk2e5vx6ufEMK/7nTA==" saltValue="kEyN3NMLe5p7OTRbFo2WJA==" spinCount="100000" sheet="true" objects="true" scenarios="true"/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A10:A11"/>
    <mergeCell ref="B10:B11"/>
    <mergeCell ref="C10:C11"/>
    <mergeCell ref="D10:D11"/>
    <mergeCell ref="E10:E11"/>
    <mergeCell ref="M10:M11"/>
    <mergeCell ref="N10:N11"/>
  </mergeCells>
  <conditionalFormatting sqref="B12:H47">
    <cfRule type="cellIs" priority="2" operator="between" aboveAverage="0" equalAverage="0" bottom="0" percent="0" rank="0" text="" dxfId="1">
      <formula>0</formula>
      <formula>0</formula>
    </cfRule>
  </conditionalFormatting>
  <dataValidations count="4">
    <dataValidation allowBlank="true" error="Saisir une option dans la liste" errorStyle="stop" errorTitle="Saisie non conforme" operator="between" showDropDown="false" showErrorMessage="true" showInputMessage="true" sqref="F4:H4 L4 D5" type="none">
      <formula1>0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F2:H2 L2 D3:D4 C5" type="list">
      <formula1>"par mois,par trimestre,par semestre,par an"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D2" type="list">
      <formula1>"par mois soit,par trimestre soit,par semestre soit,par an soit"</formula1>
      <formula2>0</formula2>
    </dataValidation>
    <dataValidation allowBlank="true" errorStyle="stop" operator="between" showDropDown="false" showErrorMessage="true" showInputMessage="true" sqref="D6:D7" type="list">
      <formula1>"mois,ans"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3"/>
    <col collapsed="false" customWidth="true" hidden="false" outlineLevel="0" max="2" min="2" style="244" width="14.54"/>
    <col collapsed="false" customWidth="true" hidden="false" outlineLevel="0" max="6" min="3" style="244" width="14.82"/>
    <col collapsed="false" customWidth="true" hidden="false" outlineLevel="0" max="7" min="7" style="167" width="4"/>
    <col collapsed="false" customWidth="false" hidden="false" outlineLevel="0" max="16384" min="8" style="167" width="11.45"/>
  </cols>
  <sheetData>
    <row r="1" customFormat="false" ht="14.25" hidden="false" customHeight="true" outlineLevel="0" collapsed="false">
      <c r="A1" s="169"/>
      <c r="B1" s="245"/>
      <c r="C1" s="245"/>
      <c r="D1" s="245"/>
      <c r="E1" s="245"/>
      <c r="F1" s="245"/>
      <c r="G1" s="169"/>
    </row>
    <row r="2" customFormat="false" ht="20.25" hidden="false" customHeight="true" outlineLevel="0" collapsed="false">
      <c r="A2" s="246" t="s">
        <v>225</v>
      </c>
      <c r="B2" s="247"/>
      <c r="C2" s="247"/>
      <c r="D2" s="247"/>
      <c r="E2" s="247"/>
      <c r="F2" s="248"/>
      <c r="G2" s="169"/>
    </row>
    <row r="3" customFormat="false" ht="14.25" hidden="false" customHeight="true" outlineLevel="0" collapsed="false">
      <c r="A3" s="172"/>
      <c r="B3" s="249"/>
      <c r="C3" s="249"/>
      <c r="D3" s="249"/>
      <c r="E3" s="249"/>
      <c r="F3" s="249"/>
      <c r="G3" s="169"/>
    </row>
    <row r="4" s="252" customFormat="true" ht="18" hidden="false" customHeight="true" outlineLevel="0" collapsed="false">
      <c r="A4" s="250" t="s">
        <v>181</v>
      </c>
      <c r="B4" s="77" t="s">
        <v>182</v>
      </c>
      <c r="C4" s="77" t="s">
        <v>183</v>
      </c>
      <c r="D4" s="77" t="s">
        <v>184</v>
      </c>
      <c r="E4" s="77" t="s">
        <v>185</v>
      </c>
      <c r="F4" s="77" t="s">
        <v>186</v>
      </c>
      <c r="G4" s="251"/>
    </row>
    <row r="5" customFormat="false" ht="15.75" hidden="false" customHeight="true" outlineLevel="0" collapsed="false">
      <c r="A5" s="177" t="s">
        <v>179</v>
      </c>
      <c r="B5" s="253"/>
      <c r="C5" s="253"/>
      <c r="D5" s="253"/>
      <c r="E5" s="253"/>
      <c r="F5" s="253"/>
      <c r="G5" s="169"/>
    </row>
    <row r="6" customFormat="false" ht="14.25" hidden="false" customHeight="true" outlineLevel="0" collapsed="false">
      <c r="A6" s="182" t="s">
        <v>187</v>
      </c>
      <c r="B6" s="254" t="n">
        <f aca="false">'Eléments du compte d''exploitati'!B12</f>
        <v>7400000</v>
      </c>
      <c r="C6" s="254" t="n">
        <f aca="false">'Eléments du compte d''exploitati'!C12</f>
        <v>7548000</v>
      </c>
      <c r="D6" s="254" t="n">
        <f aca="false">'Eléments du compte d''exploitati'!D12</f>
        <v>7698960</v>
      </c>
      <c r="E6" s="254" t="n">
        <f aca="false">'Eléments du compte d''exploitati'!E12</f>
        <v>7852939.2</v>
      </c>
      <c r="F6" s="254" t="n">
        <f aca="false">'Eléments du compte d''exploitati'!F12</f>
        <v>8009997.984</v>
      </c>
      <c r="G6" s="169"/>
    </row>
    <row r="7" customFormat="false" ht="18" hidden="false" customHeight="true" outlineLevel="0" collapsed="false">
      <c r="A7" s="255"/>
      <c r="B7" s="256"/>
      <c r="C7" s="256"/>
      <c r="D7" s="256"/>
      <c r="E7" s="256"/>
      <c r="F7" s="256"/>
      <c r="G7" s="169"/>
    </row>
    <row r="8" customFormat="false" ht="15.75" hidden="false" customHeight="true" outlineLevel="0" collapsed="false">
      <c r="A8" s="177" t="s">
        <v>188</v>
      </c>
      <c r="B8" s="253"/>
      <c r="C8" s="253"/>
      <c r="D8" s="253"/>
      <c r="E8" s="253"/>
      <c r="F8" s="253"/>
      <c r="G8" s="169"/>
    </row>
    <row r="9" customFormat="false" ht="14.25" hidden="false" customHeight="true" outlineLevel="0" collapsed="false">
      <c r="A9" s="196" t="s">
        <v>226</v>
      </c>
      <c r="B9" s="257" t="n">
        <f aca="false">+'Eléments du compte d''exploitati'!B24</f>
        <v>1920000</v>
      </c>
      <c r="C9" s="257" t="n">
        <f aca="false">+'Eléments du compte d''exploitati'!C24</f>
        <v>2035200</v>
      </c>
      <c r="D9" s="257" t="n">
        <f aca="false">+'Eléments du compte d''exploitati'!D24</f>
        <v>2198016</v>
      </c>
      <c r="E9" s="257" t="n">
        <f aca="false">+'Eléments du compte d''exploitati'!E24</f>
        <v>2373857.28</v>
      </c>
      <c r="F9" s="257" t="n">
        <f aca="false">+'Eléments du compte d''exploitati'!F24</f>
        <v>2563765.8624</v>
      </c>
      <c r="G9" s="169"/>
    </row>
    <row r="10" customFormat="false" ht="14.25" hidden="false" customHeight="true" outlineLevel="0" collapsed="false">
      <c r="A10" s="196" t="s">
        <v>227</v>
      </c>
      <c r="B10" s="257" t="n">
        <f aca="false">+'Eléments du compte d''exploitati'!B30</f>
        <v>2100000</v>
      </c>
      <c r="C10" s="257" t="n">
        <f aca="false">+'Eléments du compte d''exploitati'!C30</f>
        <v>2205000</v>
      </c>
      <c r="D10" s="257" t="n">
        <f aca="false">+'Eléments du compte d''exploitati'!D30</f>
        <v>2205000</v>
      </c>
      <c r="E10" s="257" t="n">
        <f aca="false">+'Eléments du compte d''exploitati'!E30</f>
        <v>2205000</v>
      </c>
      <c r="F10" s="257" t="n">
        <f aca="false">+'Eléments du compte d''exploitati'!F30</f>
        <v>2205000</v>
      </c>
      <c r="G10" s="169"/>
    </row>
    <row r="11" customFormat="false" ht="28.5" hidden="false" customHeight="true" outlineLevel="0" collapsed="false">
      <c r="A11" s="258" t="s">
        <v>228</v>
      </c>
      <c r="B11" s="257" t="n">
        <f aca="false">+'Eléments du compte d''exploitati'!B49</f>
        <v>450000</v>
      </c>
      <c r="C11" s="257" t="n">
        <f aca="false">+'Eléments du compte d''exploitati'!C49</f>
        <v>472500</v>
      </c>
      <c r="D11" s="257" t="n">
        <f aca="false">+'Eléments du compte d''exploitati'!D49</f>
        <v>472500</v>
      </c>
      <c r="E11" s="257" t="n">
        <f aca="false">+'Eléments du compte d''exploitati'!E49</f>
        <v>472500</v>
      </c>
      <c r="F11" s="257" t="n">
        <f aca="false">+'Eléments du compte d''exploitati'!F49</f>
        <v>472500</v>
      </c>
      <c r="G11" s="169"/>
    </row>
    <row r="12" customFormat="false" ht="14.25" hidden="false" customHeight="true" outlineLevel="0" collapsed="false">
      <c r="A12" s="196" t="s">
        <v>229</v>
      </c>
      <c r="B12" s="257" t="n">
        <f aca="false">+'Eléments du compte d''exploitati'!B62</f>
        <v>0</v>
      </c>
      <c r="C12" s="257" t="n">
        <f aca="false">+'Eléments du compte d''exploitati'!C62</f>
        <v>0</v>
      </c>
      <c r="D12" s="257" t="n">
        <f aca="false">+'Eléments du compte d''exploitati'!D62</f>
        <v>0</v>
      </c>
      <c r="E12" s="257" t="n">
        <f aca="false">+'Eléments du compte d''exploitati'!E62</f>
        <v>0</v>
      </c>
      <c r="F12" s="257" t="n">
        <f aca="false">+'Eléments du compte d''exploitati'!F62</f>
        <v>0</v>
      </c>
      <c r="G12" s="169"/>
    </row>
    <row r="13" customFormat="false" ht="14.25" hidden="false" customHeight="true" outlineLevel="0" collapsed="false">
      <c r="A13" s="196" t="s">
        <v>230</v>
      </c>
      <c r="B13" s="257" t="n">
        <f aca="false">+SUM('Echéancier Prêt'!E12:E23)</f>
        <v>255272.727272727</v>
      </c>
      <c r="C13" s="257" t="n">
        <f aca="false">+SUM('Echéancier Prêt'!E24:E35)</f>
        <v>157418.181818182</v>
      </c>
      <c r="D13" s="257" t="n">
        <f aca="false">+SUM('Echéancier Prêt'!E36:E47)</f>
        <v>55309.0909090911</v>
      </c>
      <c r="E13" s="257" t="n">
        <v>0</v>
      </c>
      <c r="F13" s="257" t="n">
        <v>0</v>
      </c>
      <c r="G13" s="169"/>
    </row>
    <row r="14" customFormat="false" ht="14.25" hidden="false" customHeight="true" outlineLevel="0" collapsed="false">
      <c r="A14" s="196" t="s">
        <v>231</v>
      </c>
      <c r="B14" s="259" t="n">
        <f aca="false">'Eléments du compte d''exploitati'!D92</f>
        <v>968916.666666667</v>
      </c>
      <c r="C14" s="259" t="n">
        <f aca="false">'Eléments du compte d''exploitati'!E92</f>
        <v>953916.666666667</v>
      </c>
      <c r="D14" s="259" t="n">
        <f aca="false">'Eléments du compte d''exploitati'!F92</f>
        <v>953916.666666667</v>
      </c>
      <c r="E14" s="259" t="n">
        <f aca="false">'Eléments du compte d''exploitati'!G92</f>
        <v>947250</v>
      </c>
      <c r="F14" s="259" t="n">
        <f aca="false">'Eléments du compte d''exploitati'!H92</f>
        <v>176000</v>
      </c>
      <c r="G14" s="169"/>
    </row>
    <row r="15" customFormat="false" ht="14.25" hidden="false" customHeight="true" outlineLevel="0" collapsed="false">
      <c r="A15" s="182" t="s">
        <v>232</v>
      </c>
      <c r="B15" s="254" t="n">
        <f aca="false">SUM(B9:B14)</f>
        <v>5694189.39393939</v>
      </c>
      <c r="C15" s="254" t="n">
        <f aca="false">SUM(C9:C14)</f>
        <v>5824034.84848485</v>
      </c>
      <c r="D15" s="254" t="n">
        <f aca="false">SUM(D9:D14)</f>
        <v>5884741.75757576</v>
      </c>
      <c r="E15" s="254" t="n">
        <f aca="false">SUM(E9:E14)</f>
        <v>5998607.28</v>
      </c>
      <c r="F15" s="254" t="n">
        <f aca="false">SUM(F9:F14)</f>
        <v>5417265.8624</v>
      </c>
      <c r="G15" s="169"/>
    </row>
    <row r="16" customFormat="false" ht="14.25" hidden="false" customHeight="true" outlineLevel="0" collapsed="false">
      <c r="A16" s="196"/>
      <c r="B16" s="260"/>
      <c r="C16" s="260"/>
      <c r="D16" s="260"/>
      <c r="E16" s="260"/>
      <c r="F16" s="260"/>
      <c r="G16" s="169"/>
      <c r="I16" s="167" t="s">
        <v>233</v>
      </c>
    </row>
    <row r="17" customFormat="false" ht="14.25" hidden="false" customHeight="true" outlineLevel="0" collapsed="false">
      <c r="A17" s="182" t="s">
        <v>234</v>
      </c>
      <c r="B17" s="254" t="n">
        <f aca="false">B6-B15</f>
        <v>1705810.60606061</v>
      </c>
      <c r="C17" s="254" t="n">
        <f aca="false">C6-C15</f>
        <v>1723965.15151515</v>
      </c>
      <c r="D17" s="254" t="n">
        <f aca="false">D6-D15</f>
        <v>1814218.24242424</v>
      </c>
      <c r="E17" s="254" t="n">
        <f aca="false">E6-E15</f>
        <v>1854331.92</v>
      </c>
      <c r="F17" s="254" t="n">
        <f aca="false">F6-F15</f>
        <v>2592732.1216</v>
      </c>
      <c r="G17" s="169"/>
    </row>
    <row r="18" customFormat="false" ht="14.25" hidden="false" customHeight="true" outlineLevel="0" collapsed="false">
      <c r="A18" s="196" t="s">
        <v>235</v>
      </c>
      <c r="B18" s="260" t="n">
        <f aca="false">30%*B17*0</f>
        <v>0</v>
      </c>
      <c r="C18" s="260" t="n">
        <f aca="false">30%*C17*0</f>
        <v>0</v>
      </c>
      <c r="D18" s="260" t="n">
        <f aca="false">30%*D17*0</f>
        <v>0</v>
      </c>
      <c r="E18" s="260" t="n">
        <f aca="false">30%*E17*0</f>
        <v>0</v>
      </c>
      <c r="F18" s="260" t="n">
        <f aca="false">30%*F17*0</f>
        <v>0</v>
      </c>
      <c r="G18" s="169"/>
    </row>
    <row r="19" customFormat="false" ht="14.25" hidden="false" customHeight="true" outlineLevel="0" collapsed="false">
      <c r="A19" s="196" t="s">
        <v>236</v>
      </c>
      <c r="B19" s="257" t="n">
        <f aca="false">+'Eléments du compte d''exploitati'!B38</f>
        <v>189000</v>
      </c>
      <c r="C19" s="257" t="n">
        <f aca="false">+'Eléments du compte d''exploitati'!C38</f>
        <v>198450</v>
      </c>
      <c r="D19" s="257" t="n">
        <f aca="false">+'Eléments du compte d''exploitati'!D38</f>
        <v>198450</v>
      </c>
      <c r="E19" s="257" t="n">
        <f aca="false">+'Eléments du compte d''exploitati'!E38</f>
        <v>198450</v>
      </c>
      <c r="F19" s="257" t="n">
        <f aca="false">+'Eléments du compte d''exploitati'!F38</f>
        <v>198450</v>
      </c>
      <c r="G19" s="169"/>
    </row>
    <row r="20" customFormat="false" ht="14.25" hidden="false" customHeight="true" outlineLevel="0" collapsed="false">
      <c r="A20" s="182" t="s">
        <v>237</v>
      </c>
      <c r="B20" s="254" t="n">
        <f aca="false">+B17-B18-B19</f>
        <v>1516810.60606061</v>
      </c>
      <c r="C20" s="254" t="n">
        <f aca="false">+C17-C18-C19</f>
        <v>1525515.15151515</v>
      </c>
      <c r="D20" s="254" t="n">
        <f aca="false">+D17-D18-D19</f>
        <v>1615768.24242424</v>
      </c>
      <c r="E20" s="254" t="n">
        <f aca="false">+E17-E18-E19</f>
        <v>1655881.92</v>
      </c>
      <c r="F20" s="254" t="n">
        <f aca="false">+F17-F18-F19</f>
        <v>2394282.1216</v>
      </c>
      <c r="G20" s="169"/>
    </row>
    <row r="21" customFormat="false" ht="14.25" hidden="false" customHeight="true" outlineLevel="0" collapsed="false">
      <c r="A21" s="196"/>
      <c r="B21" s="260"/>
      <c r="C21" s="260"/>
      <c r="D21" s="260"/>
      <c r="E21" s="260"/>
      <c r="F21" s="260"/>
      <c r="G21" s="169"/>
      <c r="I21" s="167" t="n">
        <v>0</v>
      </c>
    </row>
    <row r="22" customFormat="false" ht="14.25" hidden="false" customHeight="true" outlineLevel="0" collapsed="false">
      <c r="A22" s="182" t="s">
        <v>238</v>
      </c>
      <c r="B22" s="254" t="n">
        <f aca="false">B20+B14</f>
        <v>2485727.27272727</v>
      </c>
      <c r="C22" s="254" t="n">
        <f aca="false">C20+C14</f>
        <v>2479431.81818182</v>
      </c>
      <c r="D22" s="254" t="n">
        <f aca="false">D20+D14</f>
        <v>2569684.90909091</v>
      </c>
      <c r="E22" s="254" t="n">
        <f aca="false">E20+E14</f>
        <v>2603131.92</v>
      </c>
      <c r="F22" s="254" t="n">
        <f aca="false">F20+F14</f>
        <v>2570282.1216</v>
      </c>
      <c r="G22" s="169"/>
    </row>
    <row r="23" customFormat="false" ht="18" hidden="false" customHeight="true" outlineLevel="0" collapsed="false">
      <c r="A23" s="261" t="s">
        <v>239</v>
      </c>
      <c r="B23" s="262" t="n">
        <f aca="false">+B22</f>
        <v>2485727.27272727</v>
      </c>
      <c r="C23" s="262" t="n">
        <f aca="false">C22+B23</f>
        <v>4965159.09090909</v>
      </c>
      <c r="D23" s="262" t="n">
        <f aca="false">D22+C23</f>
        <v>7534844</v>
      </c>
      <c r="E23" s="262" t="n">
        <f aca="false">E22+D23</f>
        <v>10137975.92</v>
      </c>
      <c r="F23" s="262" t="n">
        <f aca="false">F22+E23</f>
        <v>12708258.0416</v>
      </c>
      <c r="G23" s="169"/>
    </row>
    <row r="24" customFormat="false" ht="18" hidden="false" customHeight="true" outlineLevel="0" collapsed="false">
      <c r="A24" s="169"/>
      <c r="B24" s="263"/>
      <c r="C24" s="263"/>
      <c r="D24" s="263"/>
      <c r="E24" s="263"/>
      <c r="F24" s="263"/>
      <c r="G24" s="1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27" activeCellId="0" sqref="B2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43.09"/>
    <col collapsed="false" customWidth="true" hidden="false" outlineLevel="0" max="2" min="2" style="66" width="16.82"/>
    <col collapsed="false" customWidth="true" hidden="false" outlineLevel="0" max="3" min="3" style="66" width="33.09"/>
    <col collapsed="false" customWidth="true" hidden="false" outlineLevel="0" max="5" min="4" style="66" width="15.54"/>
    <col collapsed="false" customWidth="true" hidden="false" outlineLevel="0" max="6" min="6" style="66" width="14.45"/>
    <col collapsed="false" customWidth="true" hidden="false" outlineLevel="0" max="7" min="7" style="66" width="15.45"/>
    <col collapsed="false" customWidth="true" hidden="false" outlineLevel="0" max="8" min="8" style="66" width="4"/>
    <col collapsed="false" customWidth="false" hidden="false" outlineLevel="0" max="9" min="9" style="66" width="11.45"/>
    <col collapsed="false" customWidth="true" hidden="false" outlineLevel="0" max="10" min="10" style="66" width="12.54"/>
    <col collapsed="false" customWidth="false" hidden="false" outlineLevel="0" max="16384" min="11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</row>
    <row r="2" customFormat="false" ht="20.25" hidden="false" customHeight="true" outlineLevel="0" collapsed="false">
      <c r="A2" s="70" t="s">
        <v>240</v>
      </c>
      <c r="B2" s="264"/>
      <c r="C2" s="264"/>
      <c r="D2" s="264"/>
      <c r="E2" s="264"/>
      <c r="F2" s="265"/>
      <c r="G2" s="70"/>
      <c r="H2" s="68"/>
    </row>
    <row r="3" customFormat="false" ht="18.75" hidden="false" customHeight="true" outlineLevel="0" collapsed="false">
      <c r="A3" s="266"/>
      <c r="B3" s="266"/>
      <c r="H3" s="68"/>
    </row>
    <row r="4" customFormat="false" ht="18" hidden="false" customHeight="true" outlineLevel="0" collapsed="false">
      <c r="A4" s="250" t="s">
        <v>181</v>
      </c>
      <c r="B4" s="267" t="s">
        <v>241</v>
      </c>
      <c r="C4" s="267" t="s">
        <v>182</v>
      </c>
      <c r="D4" s="267" t="s">
        <v>183</v>
      </c>
      <c r="E4" s="267" t="s">
        <v>184</v>
      </c>
      <c r="F4" s="267" t="s">
        <v>185</v>
      </c>
      <c r="G4" s="267" t="s">
        <v>186</v>
      </c>
      <c r="H4" s="68"/>
    </row>
    <row r="5" customFormat="false" ht="15.75" hidden="false" customHeight="true" outlineLevel="0" collapsed="false">
      <c r="A5" s="82" t="s">
        <v>242</v>
      </c>
      <c r="B5" s="82"/>
      <c r="C5" s="82"/>
      <c r="D5" s="82"/>
      <c r="E5" s="82"/>
      <c r="F5" s="82"/>
      <c r="G5" s="82"/>
      <c r="H5" s="68"/>
    </row>
    <row r="6" customFormat="false" ht="15" hidden="false" customHeight="true" outlineLevel="0" collapsed="false">
      <c r="A6" s="268" t="s">
        <v>243</v>
      </c>
      <c r="B6" s="269" t="n">
        <f aca="false">'Plan Financement'!C7</f>
        <v>500000</v>
      </c>
      <c r="C6" s="269"/>
      <c r="D6" s="269"/>
      <c r="E6" s="269"/>
      <c r="F6" s="269"/>
      <c r="G6" s="269"/>
      <c r="H6" s="68"/>
    </row>
    <row r="7" customFormat="false" ht="15" hidden="false" customHeight="true" outlineLevel="0" collapsed="false">
      <c r="A7" s="268" t="s">
        <v>244</v>
      </c>
      <c r="B7" s="269" t="n">
        <f aca="false">'Plan Financement'!C14</f>
        <v>3000000</v>
      </c>
      <c r="C7" s="269"/>
      <c r="D7" s="269"/>
      <c r="E7" s="269"/>
      <c r="F7" s="269"/>
      <c r="G7" s="269"/>
      <c r="H7" s="68"/>
    </row>
    <row r="8" customFormat="false" ht="15" hidden="false" customHeight="true" outlineLevel="0" collapsed="false">
      <c r="A8" s="268" t="s">
        <v>245</v>
      </c>
      <c r="B8" s="269" t="n">
        <f aca="false">SUM('Plan Financement'!C11:C12)</f>
        <v>0</v>
      </c>
      <c r="C8" s="269"/>
      <c r="D8" s="269"/>
      <c r="E8" s="269"/>
      <c r="F8" s="269"/>
      <c r="G8" s="269"/>
      <c r="H8" s="68"/>
    </row>
    <row r="9" customFormat="false" ht="15" hidden="false" customHeight="true" outlineLevel="0" collapsed="false">
      <c r="A9" s="268" t="s">
        <v>246</v>
      </c>
      <c r="B9" s="269" t="n">
        <f aca="false">'Plan Financement'!C13</f>
        <v>1500000</v>
      </c>
      <c r="C9" s="269"/>
      <c r="D9" s="269"/>
      <c r="E9" s="269"/>
      <c r="F9" s="269"/>
      <c r="G9" s="269"/>
      <c r="H9" s="68"/>
    </row>
    <row r="10" customFormat="false" ht="15" hidden="false" customHeight="true" outlineLevel="0" collapsed="false">
      <c r="A10" s="268" t="s">
        <v>247</v>
      </c>
      <c r="B10" s="269"/>
      <c r="C10" s="269" t="n">
        <f aca="false">'Compte d''exploitation'!B14</f>
        <v>968916.666666667</v>
      </c>
      <c r="D10" s="269" t="n">
        <f aca="false">'Compte d''exploitation'!C14</f>
        <v>953916.666666667</v>
      </c>
      <c r="E10" s="269" t="n">
        <f aca="false">'Compte d''exploitation'!D14</f>
        <v>953916.666666667</v>
      </c>
      <c r="F10" s="269" t="n">
        <f aca="false">'Compte d''exploitation'!E14</f>
        <v>947250</v>
      </c>
      <c r="G10" s="269" t="n">
        <f aca="false">'Compte d''exploitation'!F14</f>
        <v>176000</v>
      </c>
      <c r="H10" s="68"/>
    </row>
    <row r="11" customFormat="false" ht="15" hidden="false" customHeight="true" outlineLevel="0" collapsed="false">
      <c r="A11" s="268" t="s">
        <v>237</v>
      </c>
      <c r="B11" s="269"/>
      <c r="C11" s="269" t="n">
        <f aca="false">+'Compte d''exploitation'!B20</f>
        <v>1516810.60606061</v>
      </c>
      <c r="D11" s="269" t="n">
        <f aca="false">+'Compte d''exploitation'!C20</f>
        <v>1525515.15151515</v>
      </c>
      <c r="E11" s="269" t="n">
        <f aca="false">+'Compte d''exploitation'!D20</f>
        <v>1615768.24242424</v>
      </c>
      <c r="F11" s="269" t="n">
        <f aca="false">+'Compte d''exploitation'!E20</f>
        <v>1655881.92</v>
      </c>
      <c r="G11" s="269" t="n">
        <f aca="false">+'Compte d''exploitation'!F20</f>
        <v>2394282.1216</v>
      </c>
      <c r="H11" s="68"/>
    </row>
    <row r="12" customFormat="false" ht="15" hidden="false" customHeight="true" outlineLevel="0" collapsed="false">
      <c r="A12" s="158" t="s">
        <v>248</v>
      </c>
      <c r="B12" s="270" t="n">
        <f aca="false">SUM(B6:B11)</f>
        <v>5000000</v>
      </c>
      <c r="C12" s="270" t="n">
        <f aca="false">SUM(C6:C11)</f>
        <v>2485727.27272727</v>
      </c>
      <c r="D12" s="270" t="n">
        <f aca="false">SUM(D6:D11)</f>
        <v>2479431.81818182</v>
      </c>
      <c r="E12" s="270" t="n">
        <f aca="false">SUM(E6:E11)</f>
        <v>2569684.90909091</v>
      </c>
      <c r="F12" s="270" t="n">
        <f aca="false">SUM(F6:F11)</f>
        <v>2603131.92</v>
      </c>
      <c r="G12" s="270" t="n">
        <f aca="false">SUM(G6:G11)</f>
        <v>2570282.1216</v>
      </c>
      <c r="H12" s="68"/>
    </row>
    <row r="13" customFormat="false" ht="15.75" hidden="false" customHeight="true" outlineLevel="0" collapsed="false">
      <c r="A13" s="82" t="s">
        <v>249</v>
      </c>
      <c r="B13" s="82"/>
      <c r="C13" s="82"/>
      <c r="D13" s="82"/>
      <c r="E13" s="82"/>
      <c r="F13" s="82"/>
      <c r="G13" s="82"/>
      <c r="H13" s="68"/>
    </row>
    <row r="14" customFormat="false" ht="15" hidden="false" customHeight="true" outlineLevel="0" collapsed="false">
      <c r="A14" s="268" t="s">
        <v>250</v>
      </c>
      <c r="B14" s="269" t="n">
        <f aca="false">+'Coût du projet'!C4</f>
        <v>15000</v>
      </c>
      <c r="C14" s="269"/>
      <c r="D14" s="269"/>
      <c r="E14" s="269"/>
      <c r="F14" s="269"/>
      <c r="G14" s="269"/>
      <c r="H14" s="68"/>
    </row>
    <row r="15" customFormat="false" ht="15" hidden="false" customHeight="true" outlineLevel="0" collapsed="false">
      <c r="A15" s="268" t="s">
        <v>251</v>
      </c>
      <c r="B15" s="269" t="n">
        <f aca="false">+'Coût du projet'!C11</f>
        <v>3985000</v>
      </c>
      <c r="C15" s="269"/>
      <c r="D15" s="269"/>
      <c r="E15" s="269"/>
      <c r="F15" s="269"/>
      <c r="G15" s="269"/>
      <c r="H15" s="68"/>
    </row>
    <row r="16" customFormat="false" ht="15" hidden="false" customHeight="true" outlineLevel="0" collapsed="false">
      <c r="A16" s="268" t="s">
        <v>252</v>
      </c>
      <c r="B16" s="269" t="n">
        <f aca="false">+'Coût du projet'!C40</f>
        <v>1000000</v>
      </c>
      <c r="C16" s="269"/>
      <c r="D16" s="269"/>
      <c r="E16" s="269"/>
      <c r="F16" s="269"/>
      <c r="G16" s="269"/>
      <c r="H16" s="68"/>
    </row>
    <row r="17" customFormat="false" ht="15" hidden="false" customHeight="true" outlineLevel="0" collapsed="false">
      <c r="A17" s="268" t="s">
        <v>253</v>
      </c>
      <c r="B17" s="269"/>
      <c r="C17" s="269" t="n">
        <f aca="false">+SUM('Echéancier Prêt'!F12:F23)</f>
        <v>818181.818181818</v>
      </c>
      <c r="D17" s="269" t="n">
        <f aca="false">+SUM('Echéancier Prêt'!F24:F35)</f>
        <v>1090909.09090909</v>
      </c>
      <c r="E17" s="269" t="n">
        <f aca="false">+SUM('Echéancier Prêt'!F36:F47)</f>
        <v>1090909.09090909</v>
      </c>
      <c r="F17" s="269" t="n">
        <v>0</v>
      </c>
      <c r="G17" s="269" t="n">
        <v>0</v>
      </c>
      <c r="H17" s="68"/>
    </row>
    <row r="18" customFormat="false" ht="15" hidden="false" customHeight="true" outlineLevel="0" collapsed="false">
      <c r="A18" s="158" t="s">
        <v>254</v>
      </c>
      <c r="B18" s="270" t="n">
        <f aca="false">SUM(B14:B17)</f>
        <v>5000000</v>
      </c>
      <c r="C18" s="270" t="n">
        <f aca="false">SUM(C14:C17)</f>
        <v>818181.818181818</v>
      </c>
      <c r="D18" s="270" t="n">
        <f aca="false">SUM(D14:D17)</f>
        <v>1090909.09090909</v>
      </c>
      <c r="E18" s="270" t="n">
        <f aca="false">SUM(E14:E17)</f>
        <v>1090909.09090909</v>
      </c>
      <c r="F18" s="270" t="n">
        <f aca="false">SUM(F14:F17)</f>
        <v>0</v>
      </c>
      <c r="G18" s="270" t="n">
        <f aca="false">SUM(G14:G17)</f>
        <v>0</v>
      </c>
      <c r="H18" s="68"/>
    </row>
    <row r="19" customFormat="false" ht="15" hidden="false" customHeight="true" outlineLevel="0" collapsed="false">
      <c r="B19" s="271"/>
      <c r="C19" s="271"/>
      <c r="D19" s="271"/>
      <c r="E19" s="271"/>
      <c r="F19" s="271"/>
      <c r="G19" s="271"/>
      <c r="H19" s="68"/>
    </row>
    <row r="20" customFormat="false" ht="15.75" hidden="false" customHeight="true" outlineLevel="0" collapsed="false">
      <c r="A20" s="272" t="s">
        <v>255</v>
      </c>
      <c r="B20" s="272" t="n">
        <f aca="false">+B12-B18</f>
        <v>0</v>
      </c>
      <c r="C20" s="272" t="n">
        <f aca="false">+C12-C18</f>
        <v>1667545.45454545</v>
      </c>
      <c r="D20" s="272" t="n">
        <f aca="false">+D12-D18</f>
        <v>1388522.72727273</v>
      </c>
      <c r="E20" s="272" t="n">
        <f aca="false">+E12-E18</f>
        <v>1478775.81818182</v>
      </c>
      <c r="F20" s="272" t="n">
        <f aca="false">+F12-F18</f>
        <v>2603131.92</v>
      </c>
      <c r="G20" s="272" t="n">
        <f aca="false">+G12-G18</f>
        <v>2570282.1216</v>
      </c>
      <c r="H20" s="68"/>
    </row>
    <row r="21" customFormat="false" ht="15.75" hidden="false" customHeight="true" outlineLevel="0" collapsed="false">
      <c r="A21" s="272" t="s">
        <v>256</v>
      </c>
      <c r="B21" s="272" t="n">
        <f aca="false">+B20</f>
        <v>0</v>
      </c>
      <c r="C21" s="272" t="n">
        <f aca="false">B21+C20</f>
        <v>1667545.45454545</v>
      </c>
      <c r="D21" s="272" t="n">
        <f aca="false">C21+D20</f>
        <v>3056068.18181818</v>
      </c>
      <c r="E21" s="272" t="n">
        <f aca="false">D21+E20</f>
        <v>4534844</v>
      </c>
      <c r="F21" s="272" t="n">
        <f aca="false">E21+F20</f>
        <v>7137975.92</v>
      </c>
      <c r="G21" s="272" t="n">
        <f aca="false">F21+G20</f>
        <v>9708258.0416</v>
      </c>
      <c r="H21" s="68"/>
    </row>
    <row r="22" customFormat="false" ht="15" hidden="false" customHeight="true" outlineLevel="0" collapsed="false">
      <c r="H22" s="68"/>
    </row>
    <row r="23" customFormat="false" ht="20.25" hidden="false" customHeight="true" outlineLevel="0" collapsed="false">
      <c r="A23" s="273" t="s">
        <v>257</v>
      </c>
      <c r="B23" s="273"/>
      <c r="C23" s="273"/>
      <c r="D23" s="273"/>
      <c r="E23" s="273"/>
      <c r="F23" s="273"/>
      <c r="G23" s="273"/>
      <c r="H23" s="68"/>
    </row>
    <row r="24" customFormat="false" ht="15" hidden="false" customHeight="true" outlineLevel="0" collapsed="false">
      <c r="A24" s="274" t="n">
        <f aca="false">+'Plan Financement'!B20</f>
        <v>0.08</v>
      </c>
      <c r="B24" s="275"/>
      <c r="C24" s="275"/>
      <c r="D24" s="275"/>
      <c r="E24" s="275"/>
      <c r="F24" s="275"/>
      <c r="G24" s="275"/>
      <c r="H24" s="68"/>
    </row>
    <row r="25" customFormat="false" ht="15" hidden="false" customHeight="true" outlineLevel="0" collapsed="false">
      <c r="A25" s="276" t="n">
        <f aca="false">-B18</f>
        <v>-5000000</v>
      </c>
      <c r="B25" s="276" t="n">
        <f aca="false">+'Compte d''exploitation'!B22</f>
        <v>2485727.27272727</v>
      </c>
      <c r="C25" s="276" t="n">
        <f aca="false">+'Compte d''exploitation'!C22</f>
        <v>2479431.81818182</v>
      </c>
      <c r="D25" s="276" t="n">
        <f aca="false">+'Compte d''exploitation'!D22</f>
        <v>2569684.90909091</v>
      </c>
      <c r="E25" s="276" t="n">
        <f aca="false">+'Compte d''exploitation'!E22</f>
        <v>2603131.92</v>
      </c>
      <c r="F25" s="276" t="n">
        <f aca="false">+'Compte d''exploitation'!F22</f>
        <v>2570282.1216</v>
      </c>
      <c r="G25" s="275"/>
      <c r="H25" s="68"/>
      <c r="J25" s="66" t="n">
        <f aca="false">B18/(F25*A24)</f>
        <v>24.3163968168186</v>
      </c>
    </row>
    <row r="26" customFormat="false" ht="15" hidden="false" customHeight="true" outlineLevel="0" collapsed="false">
      <c r="A26" s="277"/>
      <c r="B26" s="277"/>
      <c r="C26" s="277"/>
      <c r="D26" s="277"/>
      <c r="E26" s="277"/>
      <c r="F26" s="277"/>
      <c r="G26" s="275"/>
      <c r="H26" s="68"/>
    </row>
    <row r="27" customFormat="false" ht="15" hidden="false" customHeight="true" outlineLevel="0" collapsed="false">
      <c r="A27" s="277"/>
      <c r="B27" s="277"/>
      <c r="C27" s="278" t="s">
        <v>258</v>
      </c>
      <c r="D27" s="279" t="n">
        <f aca="false">IRR(A25:F25)</f>
        <v>0.415537443653428</v>
      </c>
      <c r="E27" s="277" t="s">
        <v>259</v>
      </c>
      <c r="F27" s="277"/>
      <c r="G27" s="275"/>
      <c r="H27" s="68"/>
    </row>
    <row r="28" customFormat="false" ht="15" hidden="false" customHeight="true" outlineLevel="0" collapsed="false">
      <c r="A28" s="277"/>
      <c r="B28" s="277"/>
      <c r="C28" s="277"/>
      <c r="D28" s="277"/>
      <c r="E28" s="277"/>
      <c r="F28" s="277"/>
      <c r="G28" s="275"/>
      <c r="H28" s="68"/>
    </row>
    <row r="29" customFormat="false" ht="15" hidden="false" customHeight="true" outlineLevel="0" collapsed="false">
      <c r="A29" s="277"/>
      <c r="B29" s="277"/>
      <c r="C29" s="278" t="s">
        <v>260</v>
      </c>
      <c r="D29" s="280" t="n">
        <f aca="false">A25+NPV(A24,B25:F25)</f>
        <v>5129881.70228195</v>
      </c>
      <c r="E29" s="281" t="s">
        <v>259</v>
      </c>
      <c r="F29" s="277"/>
      <c r="G29" s="275"/>
      <c r="H29" s="68"/>
    </row>
    <row r="30" customFormat="false" ht="15" hidden="false" customHeight="true" outlineLevel="0" collapsed="false">
      <c r="A30" s="275"/>
      <c r="B30" s="275"/>
      <c r="C30" s="275"/>
      <c r="D30" s="275"/>
      <c r="E30" s="275"/>
      <c r="F30" s="275"/>
      <c r="G30" s="275"/>
      <c r="H30" s="68"/>
    </row>
    <row r="31" customFormat="false" ht="15.75" hidden="false" customHeight="true" outlineLevel="0" collapsed="false">
      <c r="A31" s="282" t="s">
        <v>261</v>
      </c>
      <c r="B31" s="282"/>
      <c r="C31" s="282"/>
      <c r="D31" s="282"/>
      <c r="E31" s="282"/>
      <c r="F31" s="282"/>
      <c r="G31" s="283"/>
      <c r="H31" s="68"/>
    </row>
    <row r="32" customFormat="false" ht="15.75" hidden="false" customHeight="true" outlineLevel="0" collapsed="false">
      <c r="A32" s="283"/>
      <c r="B32" s="283"/>
      <c r="C32" s="283"/>
      <c r="D32" s="283"/>
      <c r="E32" s="283"/>
      <c r="F32" s="283"/>
      <c r="G32" s="283"/>
      <c r="H32" s="68"/>
      <c r="J32" s="66" t="n">
        <f aca="false">+J30*A24</f>
        <v>0</v>
      </c>
    </row>
    <row r="33" customFormat="false" ht="15.75" hidden="false" customHeight="true" outlineLevel="0" collapsed="false">
      <c r="A33" s="283"/>
      <c r="B33" s="284" t="s">
        <v>262</v>
      </c>
      <c r="C33" s="284" t="s">
        <v>263</v>
      </c>
      <c r="D33" s="284" t="s">
        <v>264</v>
      </c>
      <c r="E33" s="284" t="s">
        <v>265</v>
      </c>
      <c r="F33" s="284" t="s">
        <v>266</v>
      </c>
      <c r="G33" s="283"/>
      <c r="H33" s="68"/>
    </row>
    <row r="34" customFormat="false" ht="15.75" hidden="false" customHeight="true" outlineLevel="0" collapsed="false">
      <c r="A34" s="285" t="s">
        <v>267</v>
      </c>
      <c r="B34" s="286" t="n">
        <f aca="false">+'Compte d''exploitation'!B22</f>
        <v>2485727.27272727</v>
      </c>
      <c r="C34" s="286" t="n">
        <f aca="false">+'Compte d''exploitation'!C22</f>
        <v>2479431.81818182</v>
      </c>
      <c r="D34" s="286" t="n">
        <f aca="false">+'Compte d''exploitation'!D22</f>
        <v>2569684.90909091</v>
      </c>
      <c r="E34" s="286" t="n">
        <f aca="false">+'Compte d''exploitation'!E22</f>
        <v>2603131.92</v>
      </c>
      <c r="F34" s="286" t="n">
        <f aca="false">+'Compte d''exploitation'!F22</f>
        <v>2570282.1216</v>
      </c>
      <c r="G34" s="283"/>
      <c r="H34" s="68"/>
    </row>
    <row r="35" customFormat="false" ht="15.75" hidden="false" customHeight="true" outlineLevel="0" collapsed="false">
      <c r="A35" s="285" t="s">
        <v>268</v>
      </c>
      <c r="B35" s="286" t="n">
        <f aca="false">+B34</f>
        <v>2485727.27272727</v>
      </c>
      <c r="C35" s="286" t="n">
        <f aca="false">+C34+B35</f>
        <v>4965159.09090909</v>
      </c>
      <c r="D35" s="286" t="n">
        <f aca="false">+D34+C35</f>
        <v>7534844</v>
      </c>
      <c r="E35" s="286" t="n">
        <f aca="false">+E34+D35</f>
        <v>10137975.92</v>
      </c>
      <c r="F35" s="286" t="n">
        <f aca="false">+F34+E35</f>
        <v>12708258.0416</v>
      </c>
      <c r="G35" s="283"/>
      <c r="H35" s="68"/>
      <c r="J35" s="287"/>
    </row>
    <row r="36" customFormat="false" ht="15.75" hidden="false" customHeight="true" outlineLevel="0" collapsed="false">
      <c r="A36" s="288"/>
      <c r="B36" s="286"/>
      <c r="C36" s="286"/>
      <c r="D36" s="286"/>
      <c r="E36" s="286"/>
      <c r="F36" s="286"/>
      <c r="G36" s="283"/>
      <c r="H36" s="68"/>
    </row>
    <row r="37" customFormat="false" ht="15.75" hidden="false" customHeight="true" outlineLevel="0" collapsed="false">
      <c r="A37" s="289" t="s">
        <v>269</v>
      </c>
      <c r="B37" s="286"/>
      <c r="C37" s="286"/>
      <c r="D37" s="286"/>
      <c r="E37" s="286"/>
      <c r="F37" s="286"/>
      <c r="G37" s="283"/>
      <c r="H37" s="68"/>
    </row>
    <row r="38" customFormat="false" ht="15.75" hidden="false" customHeight="true" outlineLevel="0" collapsed="false">
      <c r="A38" s="290" t="s">
        <v>270</v>
      </c>
      <c r="B38" s="291" t="n">
        <f aca="false">IF(B35&gt;=$B$18,0,IF(C35&gt;=$B$18,1,IF(D35&gt;=$B$18,2,IF(E35&gt;=$B$18,3,IF(F35&gt;=$B$18,4,5)))))</f>
        <v>2</v>
      </c>
      <c r="C38" s="283"/>
      <c r="D38" s="283"/>
      <c r="E38" s="283"/>
      <c r="F38" s="283"/>
      <c r="G38" s="283"/>
      <c r="H38" s="68"/>
    </row>
    <row r="39" customFormat="false" ht="15.75" hidden="false" customHeight="true" outlineLevel="0" collapsed="false">
      <c r="A39" s="292" t="s">
        <v>271</v>
      </c>
      <c r="B39" s="293" t="n">
        <f aca="false">CHOOSE(B38+1,0,B35,C35,D35,E35,F35)</f>
        <v>4965159.09090909</v>
      </c>
      <c r="C39" s="275"/>
      <c r="D39" s="275"/>
      <c r="E39" s="294"/>
      <c r="F39" s="275"/>
      <c r="G39" s="275"/>
      <c r="H39" s="68"/>
    </row>
    <row r="40" customFormat="false" ht="15.75" hidden="false" customHeight="true" outlineLevel="0" collapsed="false">
      <c r="A40" s="292" t="s">
        <v>272</v>
      </c>
      <c r="B40" s="293" t="n">
        <f aca="false">CHOOSE(B38+1,B34,C34,D34,E34,F34,F34)</f>
        <v>2569684.90909091</v>
      </c>
      <c r="C40" s="275"/>
      <c r="D40" s="275"/>
      <c r="E40" s="295" t="str">
        <f aca="false">INT(B41)&amp;" ans "&amp;INT((B41-INT(B41))*12)&amp;" mois "&amp;INT((((B41-INT(B41))*12)-INT((B41-INT(B41))*12))*30) &amp; " jours "</f>
        <v>2 ans 0 mois 4 jours </v>
      </c>
      <c r="F40" s="296"/>
      <c r="G40" s="275"/>
      <c r="H40" s="68"/>
    </row>
    <row r="41" customFormat="false" ht="15" hidden="false" customHeight="true" outlineLevel="0" collapsed="false">
      <c r="A41" s="292" t="s">
        <v>273</v>
      </c>
      <c r="B41" s="297" t="n">
        <f aca="false">B38+IF(B40=0,0,(B18-B39)/B40)</f>
        <v>2.01355843627662</v>
      </c>
      <c r="C41" s="275" t="s">
        <v>274</v>
      </c>
      <c r="D41" s="275"/>
      <c r="E41" s="298"/>
      <c r="F41" s="299"/>
      <c r="G41" s="299"/>
      <c r="H41" s="68"/>
    </row>
    <row r="42" customFormat="false" ht="15" hidden="false" customHeight="true" outlineLevel="0" collapsed="false">
      <c r="A42" s="300" t="s">
        <v>275</v>
      </c>
      <c r="B42" s="301" t="str">
        <f aca="false">IF(ROUND(MOD(B41,1)*12,0)=12,(INT(B41)+1)&amp;" an(s) et 0 mois",INT(B41)&amp;" an(s) et "&amp;ROUND(MOD(B41,1)*12,0)&amp;" mois")</f>
        <v>2 an(s) et 0 mois</v>
      </c>
      <c r="C42" s="275" t="s">
        <v>276</v>
      </c>
      <c r="D42" s="275"/>
      <c r="E42" s="302"/>
      <c r="F42" s="303"/>
      <c r="G42" s="303"/>
      <c r="H42" s="68"/>
    </row>
    <row r="43" customFormat="false" ht="15" hidden="false" customHeight="true" outlineLevel="0" collapsed="false">
      <c r="A43" s="275"/>
      <c r="B43" s="275"/>
      <c r="C43" s="275"/>
      <c r="D43" s="275"/>
      <c r="E43" s="298"/>
      <c r="F43" s="298"/>
      <c r="G43" s="275"/>
      <c r="H43" s="68"/>
    </row>
    <row r="44" customFormat="false" ht="15.75" hidden="false" customHeight="true" outlineLevel="0" collapsed="false">
      <c r="A44" s="304" t="s">
        <v>277</v>
      </c>
      <c r="B44" s="305" t="n">
        <f aca="false">+B17-D36</f>
        <v>0</v>
      </c>
      <c r="C44" s="275"/>
      <c r="D44" s="275"/>
      <c r="E44" s="294"/>
      <c r="F44" s="306"/>
      <c r="G44" s="275"/>
      <c r="H44" s="68"/>
    </row>
    <row r="45" customFormat="false" ht="15.75" hidden="false" customHeight="true" outlineLevel="0" collapsed="false">
      <c r="A45" s="292" t="s">
        <v>278</v>
      </c>
      <c r="B45" s="293" t="n">
        <f aca="false">B34/(1+$A$24)^1</f>
        <v>2301599.32659933</v>
      </c>
      <c r="C45" s="307" t="n">
        <f aca="false">C34/(1+$A$24)^2</f>
        <v>2125713.15001871</v>
      </c>
      <c r="D45" s="307" t="n">
        <f aca="false">D34/(1+$A$24)^3</f>
        <v>2039898.73009935</v>
      </c>
      <c r="E45" s="308" t="n">
        <f aca="false">E34/(1+$A$24)^4</f>
        <v>1913379.67196735</v>
      </c>
      <c r="F45" s="309" t="n">
        <f aca="false">F34/(1+$A$24)^5</f>
        <v>1749290.82359722</v>
      </c>
      <c r="G45" s="275"/>
      <c r="H45" s="68"/>
    </row>
    <row r="46" customFormat="false" ht="15" hidden="false" customHeight="true" outlineLevel="0" collapsed="false">
      <c r="A46" s="292" t="s">
        <v>279</v>
      </c>
      <c r="B46" s="293" t="n">
        <f aca="false">B45</f>
        <v>2301599.32659933</v>
      </c>
      <c r="C46" s="307" t="n">
        <f aca="false">C45+B46</f>
        <v>4427312.47661803</v>
      </c>
      <c r="D46" s="307" t="n">
        <f aca="false">D45+C46</f>
        <v>6467211.20671738</v>
      </c>
      <c r="E46" s="310" t="n">
        <f aca="false">E45+D46</f>
        <v>8380590.87868473</v>
      </c>
      <c r="F46" s="310" t="n">
        <f aca="false">F45+E46</f>
        <v>10129881.702282</v>
      </c>
      <c r="G46" s="299"/>
      <c r="H46" s="68"/>
    </row>
    <row r="47" customFormat="false" ht="15" hidden="false" customHeight="true" outlineLevel="0" collapsed="false">
      <c r="A47" s="300" t="s">
        <v>280</v>
      </c>
      <c r="B47" s="291" t="n">
        <f aca="false">IF(B46&gt;=$B$18,0,IF(C46&gt;=$B$18,1,IF(D46&gt;=$B$18,2,IF(E46&gt;=$B$18,3,IF(F46&gt;=$B$18,4,5)))))</f>
        <v>2</v>
      </c>
      <c r="C47" s="275" t="s">
        <v>276</v>
      </c>
      <c r="D47" s="275"/>
      <c r="E47" s="302"/>
      <c r="F47" s="303"/>
      <c r="G47" s="303"/>
      <c r="H47" s="68"/>
    </row>
    <row r="48" customFormat="false" ht="15" hidden="false" customHeight="true" outlineLevel="0" collapsed="false">
      <c r="A48" s="311" t="s">
        <v>281</v>
      </c>
      <c r="B48" s="312" t="n">
        <f aca="false">CHOOSE(B47+1,0,B46,C46,D46,E46,F46)</f>
        <v>4427312.47661803</v>
      </c>
    </row>
    <row r="49" customFormat="false" ht="15" hidden="false" customHeight="true" outlineLevel="0" collapsed="false">
      <c r="A49" s="311" t="s">
        <v>282</v>
      </c>
      <c r="B49" s="312" t="n">
        <f aca="false">CHOOSE(B47+1,B45,C45,D45,E45,F45,F45)</f>
        <v>2039898.73009935</v>
      </c>
    </row>
    <row r="50" customFormat="false" ht="15" hidden="false" customHeight="true" outlineLevel="0" collapsed="false">
      <c r="A50" s="311" t="s">
        <v>283</v>
      </c>
      <c r="B50" s="313" t="n">
        <f aca="false">B47+IF(B49=0,0,(B18-B48)/B49)</f>
        <v>2.28074311480849</v>
      </c>
    </row>
    <row r="51" customFormat="false" ht="15" hidden="false" customHeight="true" outlineLevel="0" collapsed="false">
      <c r="A51" s="311" t="s">
        <v>284</v>
      </c>
      <c r="B51" s="314" t="str">
        <f aca="false">IF(ROUND(MOD(B50,1)*12,0)=12,(INT(B50)+1)&amp;" an(s) et 0 mois",INT(B50)&amp;" an(s) et "&amp;ROUND(MOD(B50,1)*12,0)&amp;" mois")</f>
        <v>2 an(s) et 3 mois</v>
      </c>
    </row>
  </sheetData>
  <mergeCells count="1">
    <mergeCell ref="A23:G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11" width="45.82"/>
    <col collapsed="false" customWidth="true" hidden="false" outlineLevel="0" max="2" min="2" style="315" width="19.54"/>
    <col collapsed="false" customWidth="true" hidden="false" outlineLevel="0" max="3" min="3" style="111" width="52.09"/>
    <col collapsed="false" customWidth="true" hidden="false" outlineLevel="0" max="4" min="4" style="111" width="20.82"/>
    <col collapsed="false" customWidth="true" hidden="false" outlineLevel="0" max="5" min="5" style="111" width="4.45"/>
    <col collapsed="false" customWidth="false" hidden="false" outlineLevel="0" max="16384" min="6" style="111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</row>
    <row r="2" customFormat="false" ht="20.25" hidden="false" customHeight="true" outlineLevel="0" collapsed="false">
      <c r="A2" s="70" t="s">
        <v>285</v>
      </c>
      <c r="B2" s="70"/>
      <c r="C2" s="70"/>
      <c r="D2" s="70"/>
      <c r="E2" s="68"/>
    </row>
    <row r="3" customFormat="false" ht="15" hidden="false" customHeight="true" outlineLevel="0" collapsed="false">
      <c r="E3" s="68"/>
    </row>
    <row r="4" customFormat="false" ht="18" hidden="false" customHeight="true" outlineLevel="0" collapsed="false">
      <c r="A4" s="316" t="s">
        <v>286</v>
      </c>
      <c r="B4" s="316"/>
      <c r="C4" s="316"/>
      <c r="D4" s="316"/>
      <c r="E4" s="68"/>
    </row>
    <row r="5" s="111" customFormat="true" ht="15" hidden="false" customHeight="true" outlineLevel="0" collapsed="false">
      <c r="E5" s="68"/>
    </row>
    <row r="6" customFormat="false" ht="15.75" hidden="false" customHeight="true" outlineLevel="0" collapsed="false">
      <c r="A6" s="317" t="s">
        <v>287</v>
      </c>
      <c r="B6" s="317" t="s">
        <v>288</v>
      </c>
      <c r="C6" s="317" t="s">
        <v>289</v>
      </c>
      <c r="D6" s="317" t="s">
        <v>288</v>
      </c>
      <c r="E6" s="68"/>
    </row>
    <row r="7" customFormat="false" ht="27" hidden="false" customHeight="true" outlineLevel="0" collapsed="false">
      <c r="A7" s="318" t="s">
        <v>290</v>
      </c>
      <c r="B7" s="319"/>
      <c r="C7" s="320" t="s">
        <v>291</v>
      </c>
      <c r="D7" s="321"/>
      <c r="E7" s="68"/>
    </row>
    <row r="8" customFormat="false" ht="15.75" hidden="false" customHeight="true" outlineLevel="0" collapsed="false">
      <c r="A8" s="318" t="s">
        <v>292</v>
      </c>
      <c r="B8" s="319"/>
      <c r="C8" s="318" t="s">
        <v>293</v>
      </c>
      <c r="D8" s="321" t="n">
        <f aca="false">+D9+D10</f>
        <v>500000</v>
      </c>
      <c r="E8" s="68"/>
    </row>
    <row r="9" customFormat="false" ht="15.75" hidden="false" customHeight="true" outlineLevel="0" collapsed="false">
      <c r="A9" s="322" t="str">
        <f aca="false">+'Coût du projet'!A5</f>
        <v>Frais d'étude / développement</v>
      </c>
      <c r="B9" s="322" t="n">
        <f aca="false">+'Coût du projet'!B5</f>
        <v>0</v>
      </c>
      <c r="C9" s="322" t="s">
        <v>294</v>
      </c>
      <c r="D9" s="321" t="n">
        <f aca="false">+B32</f>
        <v>0</v>
      </c>
      <c r="E9" s="68"/>
    </row>
    <row r="10" customFormat="false" ht="15.75" hidden="false" customHeight="true" outlineLevel="0" collapsed="false">
      <c r="A10" s="322" t="str">
        <f aca="false">+'Coût du projet'!A6</f>
        <v>Frais de publicité et de lancement</v>
      </c>
      <c r="B10" s="322" t="n">
        <f aca="false">+'Coût du projet'!B6</f>
        <v>0</v>
      </c>
      <c r="C10" s="322" t="s">
        <v>295</v>
      </c>
      <c r="D10" s="321" t="n">
        <f aca="false">+'Plan Financement'!C8</f>
        <v>500000</v>
      </c>
      <c r="E10" s="68"/>
    </row>
    <row r="11" customFormat="false" ht="17.25" hidden="false" customHeight="true" outlineLevel="0" collapsed="false">
      <c r="A11" s="322" t="str">
        <f aca="false">+'Coût du projet'!A7</f>
        <v>Frais de constitution</v>
      </c>
      <c r="B11" s="322" t="n">
        <f aca="false">+'Coût du projet'!B7</f>
        <v>15000</v>
      </c>
      <c r="C11" s="323" t="s">
        <v>296</v>
      </c>
      <c r="D11" s="321"/>
      <c r="E11" s="68"/>
    </row>
    <row r="12" customFormat="false" ht="15.75" hidden="false" customHeight="true" outlineLevel="0" collapsed="false">
      <c r="A12" s="322" t="str">
        <f aca="false">+'Coût du projet'!A8</f>
        <v>Frais d'hypothèque</v>
      </c>
      <c r="B12" s="322" t="n">
        <f aca="false">+'Coût du projet'!B8</f>
        <v>0</v>
      </c>
      <c r="C12" s="324" t="s">
        <v>297</v>
      </c>
      <c r="D12" s="321"/>
      <c r="E12" s="68"/>
    </row>
    <row r="13" customFormat="false" ht="15.75" hidden="false" customHeight="true" outlineLevel="0" collapsed="false">
      <c r="A13" s="322" t="str">
        <f aca="false">+'Coût du projet'!A9</f>
        <v>Frais de nantissement</v>
      </c>
      <c r="B13" s="322" t="n">
        <f aca="false">+'Coût du projet'!B9</f>
        <v>0</v>
      </c>
      <c r="C13" s="325" t="s">
        <v>298</v>
      </c>
      <c r="D13" s="321" t="n">
        <f aca="false">+'Compte de tresorerie'!B8+'Compte de tresorerie'!B9</f>
        <v>1500000</v>
      </c>
      <c r="E13" s="68"/>
    </row>
    <row r="14" customFormat="false" ht="15.75" hidden="false" customHeight="true" outlineLevel="0" collapsed="false">
      <c r="A14" s="318" t="s">
        <v>299</v>
      </c>
      <c r="B14" s="319"/>
      <c r="C14" s="326"/>
      <c r="D14" s="321"/>
      <c r="E14" s="68"/>
    </row>
    <row r="15" customFormat="false" ht="15.75" hidden="false" customHeight="true" outlineLevel="0" collapsed="false">
      <c r="A15" s="322" t="n">
        <f aca="false">+'Coût du projet'!A13</f>
        <v>0</v>
      </c>
      <c r="B15" s="327" t="n">
        <f aca="false">+'Coût du projet'!B13</f>
        <v>0</v>
      </c>
      <c r="C15" s="326"/>
      <c r="D15" s="321"/>
      <c r="E15" s="68"/>
    </row>
    <row r="16" customFormat="false" ht="15.75" hidden="false" customHeight="true" outlineLevel="0" collapsed="false">
      <c r="A16" s="322" t="n">
        <f aca="false">+'Coût du projet'!A14</f>
        <v>0</v>
      </c>
      <c r="B16" s="327" t="n">
        <f aca="false">+'Coût du projet'!B14</f>
        <v>0</v>
      </c>
      <c r="C16" s="328" t="s">
        <v>300</v>
      </c>
      <c r="D16" s="329" t="n">
        <f aca="false">+D13+D11+D8</f>
        <v>2000000</v>
      </c>
      <c r="E16" s="68"/>
    </row>
    <row r="17" customFormat="false" ht="15.75" hidden="false" customHeight="true" outlineLevel="0" collapsed="false">
      <c r="A17" s="322" t="str">
        <f aca="false">+'Coût du projet'!A25</f>
        <v>Puits à grand diamètre</v>
      </c>
      <c r="B17" s="327" t="n">
        <f aca="false">+'Coût du projet'!B25</f>
        <v>980000</v>
      </c>
      <c r="C17" s="330"/>
      <c r="D17" s="321"/>
      <c r="E17" s="68"/>
    </row>
    <row r="18" customFormat="false" ht="15.75" hidden="false" customHeight="true" outlineLevel="0" collapsed="false">
      <c r="A18" s="322" t="str">
        <f aca="false">+'Coût du projet'!A20</f>
        <v>Aménagement préparatoire</v>
      </c>
      <c r="B18" s="327" t="n">
        <f aca="false">+'Coût du projet'!B20</f>
        <v>45000</v>
      </c>
      <c r="C18" s="323" t="s">
        <v>301</v>
      </c>
      <c r="D18" s="321"/>
      <c r="E18" s="68"/>
    </row>
    <row r="19" customFormat="false" ht="15.75" hidden="false" customHeight="true" outlineLevel="0" collapsed="false">
      <c r="A19" s="322" t="str">
        <f aca="false">+'Coût du projet'!A21</f>
        <v>Formation des billons</v>
      </c>
      <c r="B19" s="327" t="n">
        <f aca="false">+'Coût du projet'!B21</f>
        <v>60000</v>
      </c>
      <c r="C19" s="322" t="s">
        <v>302</v>
      </c>
      <c r="D19" s="321" t="n">
        <f aca="false">+'Plan Financement'!C14</f>
        <v>3000000</v>
      </c>
      <c r="E19" s="68"/>
    </row>
    <row r="20" customFormat="false" ht="15.75" hidden="false" customHeight="true" outlineLevel="0" collapsed="false">
      <c r="A20" s="322" t="str">
        <f aca="false">+'Coût du projet'!A22</f>
        <v>Système goutte-à-goutte</v>
      </c>
      <c r="B20" s="327" t="n">
        <f aca="false">+'Coût du projet'!B22</f>
        <v>750000</v>
      </c>
      <c r="C20" s="322" t="s">
        <v>303</v>
      </c>
      <c r="D20" s="321"/>
      <c r="E20" s="68"/>
    </row>
    <row r="21" customFormat="false" ht="15.75" hidden="false" customHeight="true" outlineLevel="0" collapsed="false">
      <c r="A21" s="322" t="str">
        <f aca="false">+'Coût du projet'!A23</f>
        <v>Clôture en grillage 0,75 ha</v>
      </c>
      <c r="B21" s="327" t="n">
        <f aca="false">+'Coût du projet'!B23</f>
        <v>1000000</v>
      </c>
      <c r="C21" s="322" t="s">
        <v>304</v>
      </c>
      <c r="D21" s="321"/>
      <c r="E21" s="68"/>
    </row>
    <row r="22" customFormat="false" ht="15.75" hidden="false" customHeight="true" outlineLevel="0" collapsed="false">
      <c r="A22" s="322" t="str">
        <f aca="false">+'Coût du projet'!A24</f>
        <v>Bassin 40 m³</v>
      </c>
      <c r="B22" s="327" t="n">
        <f aca="false">+'Coût du projet'!B24</f>
        <v>250000</v>
      </c>
      <c r="C22" s="328" t="s">
        <v>305</v>
      </c>
      <c r="D22" s="329" t="n">
        <f aca="false">SUM(D17:D21)</f>
        <v>3000000</v>
      </c>
      <c r="E22" s="68"/>
    </row>
    <row r="23" customFormat="false" ht="15.75" hidden="false" customHeight="true" outlineLevel="0" collapsed="false">
      <c r="A23" s="322" t="str">
        <f aca="false">+'Coût du projet'!A29</f>
        <v>Balance</v>
      </c>
      <c r="B23" s="327" t="n">
        <f aca="false">+'Coût du projet'!B29</f>
        <v>20000</v>
      </c>
      <c r="C23" s="330"/>
      <c r="D23" s="321"/>
      <c r="E23" s="68"/>
    </row>
    <row r="24" customFormat="false" ht="15.75" hidden="false" customHeight="true" outlineLevel="0" collapsed="false">
      <c r="A24" s="322" t="n">
        <f aca="false">+'Coût du projet'!A30</f>
        <v>0</v>
      </c>
      <c r="B24" s="327" t="n">
        <f aca="false">+'Coût du projet'!B30</f>
        <v>0</v>
      </c>
      <c r="C24" s="328" t="s">
        <v>306</v>
      </c>
      <c r="D24" s="329" t="n">
        <f aca="false">D16+D22</f>
        <v>5000000</v>
      </c>
      <c r="E24" s="68"/>
    </row>
    <row r="25" customFormat="false" ht="15.75" hidden="false" customHeight="true" outlineLevel="0" collapsed="false">
      <c r="A25" s="322" t="n">
        <f aca="false">+'Coût du projet'!A32</f>
        <v>0</v>
      </c>
      <c r="B25" s="327" t="n">
        <f aca="false">+'Coût du projet'!B32</f>
        <v>0</v>
      </c>
      <c r="C25" s="328"/>
      <c r="D25" s="329"/>
      <c r="E25" s="68"/>
    </row>
    <row r="26" customFormat="false" ht="15.75" hidden="false" customHeight="true" outlineLevel="0" collapsed="false">
      <c r="A26" s="322" t="n">
        <f aca="false">+'Coût du projet'!A33</f>
        <v>0</v>
      </c>
      <c r="B26" s="327" t="n">
        <f aca="false">+'Coût du projet'!B33</f>
        <v>0</v>
      </c>
      <c r="C26" s="328"/>
      <c r="D26" s="329"/>
      <c r="E26" s="68"/>
    </row>
    <row r="27" customFormat="false" ht="15.75" hidden="false" customHeight="true" outlineLevel="0" collapsed="false">
      <c r="A27" s="322" t="str">
        <f aca="false">+'Coût du projet'!A35</f>
        <v>Paillage en plastique</v>
      </c>
      <c r="B27" s="327" t="n">
        <f aca="false">+'Coût du projet'!B35</f>
        <v>400000</v>
      </c>
      <c r="C27" s="328"/>
      <c r="D27" s="329"/>
      <c r="E27" s="68"/>
    </row>
    <row r="28" customFormat="false" ht="15.75" hidden="false" customHeight="true" outlineLevel="0" collapsed="false">
      <c r="A28" s="322" t="str">
        <f aca="false">+'Coût du projet'!A36</f>
        <v>Pulvérisateurs</v>
      </c>
      <c r="B28" s="327" t="n">
        <f aca="false">+'Coût du projet'!B36</f>
        <v>75000</v>
      </c>
      <c r="C28" s="328"/>
      <c r="D28" s="329"/>
      <c r="E28" s="68"/>
    </row>
    <row r="29" customFormat="false" ht="15.75" hidden="false" customHeight="true" outlineLevel="0" collapsed="false">
      <c r="A29" s="322" t="str">
        <f aca="false">+'Coût du projet'!A37</f>
        <v>Brouettes + Houes</v>
      </c>
      <c r="B29" s="327" t="n">
        <f aca="false">+'Coût du projet'!B37</f>
        <v>60000</v>
      </c>
      <c r="C29" s="328"/>
      <c r="D29" s="329"/>
      <c r="E29" s="68"/>
    </row>
    <row r="30" customFormat="false" ht="15.75" hidden="false" customHeight="true" outlineLevel="0" collapsed="false">
      <c r="A30" s="322" t="str">
        <f aca="false">+'Coût du projet'!A38</f>
        <v>P 17 (2000 m)</v>
      </c>
      <c r="B30" s="327" t="n">
        <f aca="false">+'Coût du projet'!B38</f>
        <v>300000</v>
      </c>
      <c r="C30" s="328"/>
      <c r="D30" s="329"/>
      <c r="E30" s="68"/>
    </row>
    <row r="31" customFormat="false" ht="15.75" hidden="false" customHeight="true" outlineLevel="0" collapsed="false">
      <c r="A31" s="322" t="str">
        <f aca="false">+'Coût du projet'!A39</f>
        <v>Outils divers (dabas, pioches, pelles)</v>
      </c>
      <c r="B31" s="327" t="n">
        <f aca="false">+'Coût du projet'!B39</f>
        <v>45000</v>
      </c>
      <c r="C31" s="328"/>
      <c r="D31" s="329"/>
      <c r="E31" s="68"/>
    </row>
    <row r="32" customFormat="false" ht="15.75" hidden="false" customHeight="true" outlineLevel="0" collapsed="false">
      <c r="A32" s="318" t="s">
        <v>307</v>
      </c>
      <c r="B32" s="331" t="n">
        <v>0</v>
      </c>
      <c r="C32" s="326"/>
      <c r="D32" s="321"/>
      <c r="E32" s="68"/>
    </row>
    <row r="33" customFormat="false" ht="15.75" hidden="false" customHeight="true" outlineLevel="0" collapsed="false">
      <c r="A33" s="332" t="s">
        <v>308</v>
      </c>
      <c r="B33" s="329" t="n">
        <f aca="false">SUM(B7:B32)</f>
        <v>4000000</v>
      </c>
      <c r="C33" s="326"/>
      <c r="D33" s="321"/>
      <c r="E33" s="68"/>
    </row>
    <row r="34" customFormat="false" ht="15.75" hidden="false" customHeight="true" outlineLevel="0" collapsed="false">
      <c r="A34" s="318" t="s">
        <v>309</v>
      </c>
      <c r="B34" s="319"/>
      <c r="C34" s="324" t="s">
        <v>310</v>
      </c>
      <c r="D34" s="321"/>
      <c r="E34" s="68"/>
    </row>
    <row r="35" customFormat="false" ht="15.75" hidden="false" customHeight="true" outlineLevel="0" collapsed="false">
      <c r="A35" s="318" t="s">
        <v>311</v>
      </c>
      <c r="B35" s="319"/>
      <c r="C35" s="322" t="s">
        <v>312</v>
      </c>
      <c r="D35" s="321"/>
      <c r="E35" s="68"/>
    </row>
    <row r="36" customFormat="false" ht="15.75" hidden="false" customHeight="true" outlineLevel="0" collapsed="false">
      <c r="A36" s="322" t="s">
        <v>313</v>
      </c>
      <c r="B36" s="319"/>
      <c r="C36" s="322" t="s">
        <v>314</v>
      </c>
      <c r="D36" s="321"/>
      <c r="E36" s="68"/>
    </row>
    <row r="37" customFormat="false" ht="15.75" hidden="false" customHeight="true" outlineLevel="0" collapsed="false">
      <c r="A37" s="322" t="s">
        <v>315</v>
      </c>
      <c r="B37" s="319" t="n">
        <f aca="false">+'Coût du projet'!B41+'Coût du projet'!B42</f>
        <v>480000</v>
      </c>
      <c r="C37" s="322" t="s">
        <v>316</v>
      </c>
      <c r="D37" s="321"/>
      <c r="E37" s="68"/>
    </row>
    <row r="38" customFormat="false" ht="15.75" hidden="false" customHeight="true" outlineLevel="0" collapsed="false">
      <c r="A38" s="322" t="s">
        <v>317</v>
      </c>
      <c r="B38" s="319"/>
      <c r="C38" s="322" t="s">
        <v>318</v>
      </c>
      <c r="D38" s="321"/>
      <c r="E38" s="68"/>
    </row>
    <row r="39" customFormat="false" ht="15.75" hidden="false" customHeight="true" outlineLevel="0" collapsed="false">
      <c r="A39" s="322" t="s">
        <v>319</v>
      </c>
      <c r="B39" s="319"/>
      <c r="C39" s="322" t="s">
        <v>320</v>
      </c>
      <c r="D39" s="321"/>
      <c r="E39" s="68"/>
    </row>
    <row r="40" customFormat="false" ht="15.75" hidden="false" customHeight="true" outlineLevel="0" collapsed="false">
      <c r="A40" s="318" t="s">
        <v>321</v>
      </c>
      <c r="B40" s="319"/>
      <c r="C40" s="332" t="s">
        <v>322</v>
      </c>
      <c r="D40" s="329" t="n">
        <f aca="false">SUM(D34:D39)</f>
        <v>0</v>
      </c>
      <c r="E40" s="68"/>
    </row>
    <row r="41" customFormat="false" ht="15.75" hidden="false" customHeight="true" outlineLevel="0" collapsed="false">
      <c r="A41" s="322" t="s">
        <v>323</v>
      </c>
      <c r="B41" s="319"/>
      <c r="C41" s="326"/>
      <c r="D41" s="321"/>
      <c r="E41" s="68"/>
    </row>
    <row r="42" customFormat="false" ht="15.75" hidden="false" customHeight="true" outlineLevel="0" collapsed="false">
      <c r="A42" s="322" t="s">
        <v>324</v>
      </c>
      <c r="B42" s="319"/>
      <c r="C42" s="318" t="s">
        <v>325</v>
      </c>
      <c r="D42" s="321"/>
      <c r="E42" s="68"/>
    </row>
    <row r="43" customFormat="false" ht="15.75" hidden="false" customHeight="true" outlineLevel="0" collapsed="false">
      <c r="A43" s="322" t="s">
        <v>326</v>
      </c>
      <c r="B43" s="319"/>
      <c r="C43" s="322" t="s">
        <v>327</v>
      </c>
      <c r="D43" s="321"/>
      <c r="E43" s="68"/>
    </row>
    <row r="44" customFormat="false" ht="15.75" hidden="false" customHeight="true" outlineLevel="0" collapsed="false">
      <c r="A44" s="321"/>
      <c r="B44" s="319"/>
      <c r="C44" s="322" t="s">
        <v>328</v>
      </c>
      <c r="D44" s="321"/>
      <c r="E44" s="68"/>
    </row>
    <row r="45" customFormat="false" ht="15.75" hidden="false" customHeight="true" outlineLevel="0" collapsed="false">
      <c r="A45" s="332" t="s">
        <v>329</v>
      </c>
      <c r="B45" s="329" t="n">
        <f aca="false">SUM(B34:B43)</f>
        <v>480000</v>
      </c>
      <c r="C45" s="326"/>
      <c r="D45" s="321"/>
      <c r="E45" s="68"/>
    </row>
    <row r="46" customFormat="false" ht="15.75" hidden="false" customHeight="true" outlineLevel="0" collapsed="false">
      <c r="A46" s="326"/>
      <c r="B46" s="319"/>
      <c r="C46" s="332" t="s">
        <v>330</v>
      </c>
      <c r="D46" s="329" t="n">
        <f aca="false">SUM(D41:D45)</f>
        <v>0</v>
      </c>
      <c r="E46" s="68"/>
    </row>
    <row r="47" customFormat="false" ht="15.75" hidden="false" customHeight="true" outlineLevel="0" collapsed="false">
      <c r="A47" s="322" t="s">
        <v>331</v>
      </c>
      <c r="B47" s="319"/>
      <c r="C47" s="326"/>
      <c r="D47" s="321"/>
      <c r="E47" s="68"/>
    </row>
    <row r="48" customFormat="false" ht="15.75" hidden="false" customHeight="true" outlineLevel="0" collapsed="false">
      <c r="A48" s="322" t="s">
        <v>332</v>
      </c>
      <c r="B48" s="319"/>
      <c r="C48" s="326"/>
      <c r="D48" s="321"/>
      <c r="E48" s="68"/>
    </row>
    <row r="49" customFormat="false" ht="15.75" hidden="false" customHeight="true" outlineLevel="0" collapsed="false">
      <c r="A49" s="322" t="s">
        <v>333</v>
      </c>
      <c r="B49" s="319" t="n">
        <f aca="false">+B86-B45-B33+B32</f>
        <v>520000</v>
      </c>
      <c r="C49" s="326"/>
      <c r="D49" s="321"/>
      <c r="E49" s="68"/>
    </row>
    <row r="50" customFormat="false" ht="15.75" hidden="false" customHeight="true" outlineLevel="0" collapsed="false">
      <c r="A50" s="332" t="s">
        <v>334</v>
      </c>
      <c r="B50" s="329" t="n">
        <f aca="false">SUM(B46:B49)</f>
        <v>520000</v>
      </c>
      <c r="C50" s="326"/>
      <c r="D50" s="321"/>
      <c r="E50" s="68"/>
    </row>
    <row r="51" customFormat="false" ht="15.75" hidden="false" customHeight="true" outlineLevel="0" collapsed="false">
      <c r="A51" s="333"/>
      <c r="B51" s="334"/>
      <c r="C51" s="335"/>
      <c r="D51" s="336"/>
      <c r="E51" s="68"/>
    </row>
    <row r="52" s="339" customFormat="true" ht="21" hidden="false" customHeight="true" outlineLevel="0" collapsed="false">
      <c r="A52" s="337" t="s">
        <v>335</v>
      </c>
      <c r="B52" s="77" t="n">
        <f aca="false">B33+B45+B50</f>
        <v>5000000</v>
      </c>
      <c r="C52" s="337" t="s">
        <v>336</v>
      </c>
      <c r="D52" s="77" t="n">
        <f aca="false">D46+D40+D24</f>
        <v>5000000</v>
      </c>
      <c r="E52" s="68"/>
      <c r="F52" s="338" t="n">
        <f aca="false">+D52-B52</f>
        <v>0</v>
      </c>
    </row>
    <row r="53" customFormat="false" ht="19.5" hidden="false" customHeight="true" outlineLevel="0" collapsed="false">
      <c r="A53" s="68"/>
      <c r="B53" s="68"/>
      <c r="C53" s="68"/>
      <c r="D53" s="68"/>
      <c r="E53" s="68"/>
    </row>
    <row r="54" customFormat="false" ht="15.75" hidden="false" customHeight="true" outlineLevel="0" collapsed="false">
      <c r="A54" s="340"/>
      <c r="B54" s="341"/>
      <c r="D54" s="342"/>
    </row>
    <row r="86" customFormat="false" ht="14.25" hidden="true" customHeight="true" outlineLevel="0" collapsed="false">
      <c r="B86" s="343" t="n">
        <f aca="false">+'Coût du projet'!C46</f>
        <v>5000000</v>
      </c>
    </row>
  </sheetData>
  <mergeCells count="1"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5" colorId="64" zoomScale="90" zoomScaleNormal="90" zoomScalePageLayoutView="100" workbookViewId="0">
      <selection pane="topLeft" activeCell="B32" activeCellId="0" sqref="B32"/>
    </sheetView>
  </sheetViews>
  <sheetFormatPr defaultColWidth="11.453125" defaultRowHeight="13.5" zeroHeight="false" outlineLevelRow="0" outlineLevelCol="0"/>
  <cols>
    <col collapsed="false" customWidth="true" hidden="false" outlineLevel="0" max="1" min="1" style="344" width="51.54"/>
    <col collapsed="false" customWidth="true" hidden="false" outlineLevel="0" max="2" min="2" style="344" width="13.45"/>
    <col collapsed="false" customWidth="true" hidden="false" outlineLevel="0" max="3" min="3" style="345" width="22.45"/>
    <col collapsed="false" customWidth="true" hidden="false" outlineLevel="0" max="4" min="4" style="344" width="14.54"/>
    <col collapsed="false" customWidth="true" hidden="false" outlineLevel="0" max="5" min="5" style="344" width="3.45"/>
    <col collapsed="false" customWidth="false" hidden="false" outlineLevel="0" max="16384" min="6" style="344" width="11.45"/>
  </cols>
  <sheetData>
    <row r="1" customFormat="false" ht="15" hidden="false" customHeight="true" outlineLevel="0" collapsed="false">
      <c r="A1" s="68"/>
      <c r="B1" s="68"/>
      <c r="C1" s="346"/>
      <c r="D1" s="68"/>
      <c r="E1" s="68"/>
    </row>
    <row r="2" customFormat="false" ht="20.25" hidden="false" customHeight="true" outlineLevel="0" collapsed="false">
      <c r="A2" s="347" t="s">
        <v>337</v>
      </c>
      <c r="B2" s="348"/>
      <c r="C2" s="349"/>
      <c r="D2" s="348"/>
      <c r="E2" s="68"/>
    </row>
    <row r="3" customFormat="false" ht="15" hidden="false" customHeight="true" outlineLevel="0" collapsed="false">
      <c r="A3" s="350"/>
      <c r="B3" s="350"/>
      <c r="C3" s="351"/>
      <c r="D3" s="350"/>
      <c r="E3" s="68"/>
    </row>
    <row r="4" customFormat="false" ht="15" hidden="false" customHeight="true" outlineLevel="0" collapsed="false">
      <c r="A4" s="352" t="s">
        <v>338</v>
      </c>
      <c r="B4" s="352"/>
      <c r="C4" s="353"/>
      <c r="D4" s="352"/>
      <c r="E4" s="68"/>
    </row>
    <row r="5" customFormat="false" ht="15" hidden="false" customHeight="true" outlineLevel="0" collapsed="false">
      <c r="A5" s="354" t="s">
        <v>181</v>
      </c>
      <c r="B5" s="355" t="s">
        <v>182</v>
      </c>
      <c r="C5" s="356" t="s">
        <v>183</v>
      </c>
      <c r="D5" s="355" t="s">
        <v>184</v>
      </c>
      <c r="E5" s="68"/>
    </row>
    <row r="6" customFormat="false" ht="15" hidden="false" customHeight="true" outlineLevel="0" collapsed="false">
      <c r="A6" s="350" t="s">
        <v>192</v>
      </c>
      <c r="B6" s="357" t="n">
        <f aca="false">+'Compte d''exploitation'!B10</f>
        <v>2100000</v>
      </c>
      <c r="C6" s="358" t="n">
        <f aca="false">+'Compte d''exploitation'!C10</f>
        <v>2205000</v>
      </c>
      <c r="D6" s="357" t="n">
        <f aca="false">+'Compte d''exploitation'!D10</f>
        <v>2205000</v>
      </c>
      <c r="E6" s="68"/>
    </row>
    <row r="7" customFormat="false" ht="15" hidden="false" customHeight="true" outlineLevel="0" collapsed="false">
      <c r="A7" s="350" t="s">
        <v>339</v>
      </c>
      <c r="B7" s="359" t="n">
        <f aca="false">+'Compte d''exploitation'!B19</f>
        <v>189000</v>
      </c>
      <c r="C7" s="360" t="n">
        <f aca="false">+'Compte d''exploitation'!C19</f>
        <v>198450</v>
      </c>
      <c r="D7" s="359" t="n">
        <f aca="false">+'Compte d''exploitation'!D19</f>
        <v>198450</v>
      </c>
      <c r="E7" s="68"/>
    </row>
    <row r="8" customFormat="false" ht="15" hidden="false" customHeight="true" outlineLevel="0" collapsed="false">
      <c r="A8" s="350" t="s">
        <v>231</v>
      </c>
      <c r="B8" s="359" t="n">
        <f aca="false">+'Compte d''exploitation'!B14</f>
        <v>968916.666666667</v>
      </c>
      <c r="C8" s="360" t="n">
        <f aca="false">+'Compte d''exploitation'!C14</f>
        <v>953916.666666667</v>
      </c>
      <c r="D8" s="359" t="n">
        <f aca="false">+'Compte d''exploitation'!D14</f>
        <v>953916.666666667</v>
      </c>
      <c r="E8" s="68"/>
    </row>
    <row r="9" customFormat="false" ht="15" hidden="false" customHeight="true" outlineLevel="0" collapsed="false">
      <c r="A9" s="350" t="s">
        <v>340</v>
      </c>
      <c r="B9" s="359" t="n">
        <f aca="false">+'Compte d''exploitation'!B13</f>
        <v>255272.727272727</v>
      </c>
      <c r="C9" s="360" t="n">
        <f aca="false">+'Compte d''exploitation'!C13</f>
        <v>157418.181818182</v>
      </c>
      <c r="D9" s="359" t="n">
        <f aca="false">+'Compte d''exploitation'!D13</f>
        <v>55309.0909090911</v>
      </c>
      <c r="E9" s="68"/>
    </row>
    <row r="10" customFormat="false" ht="15" hidden="false" customHeight="true" outlineLevel="0" collapsed="false">
      <c r="A10" s="350" t="s">
        <v>341</v>
      </c>
      <c r="B10" s="359" t="n">
        <f aca="false">+'Compte d''exploitation'!B17</f>
        <v>1705810.60606061</v>
      </c>
      <c r="C10" s="360" t="n">
        <f aca="false">+'Compte d''exploitation'!C17</f>
        <v>1723965.15151515</v>
      </c>
      <c r="D10" s="359" t="n">
        <f aca="false">+'Compte d''exploitation'!D17</f>
        <v>1814218.24242424</v>
      </c>
      <c r="E10" s="68"/>
    </row>
    <row r="11" customFormat="false" ht="15" hidden="false" customHeight="true" outlineLevel="0" collapsed="false">
      <c r="A11" s="182" t="s">
        <v>342</v>
      </c>
      <c r="B11" s="361" t="n">
        <f aca="false">+B6+B8+B9+B10</f>
        <v>5030000</v>
      </c>
      <c r="C11" s="361" t="n">
        <f aca="false">+C6+C8+C9+C10</f>
        <v>5040300</v>
      </c>
      <c r="D11" s="361" t="n">
        <f aca="false">+D6+D8+D9+D10</f>
        <v>5028444</v>
      </c>
      <c r="E11" s="68"/>
    </row>
    <row r="12" customFormat="false" ht="15" hidden="false" customHeight="true" outlineLevel="0" collapsed="false">
      <c r="A12" s="350"/>
      <c r="B12" s="350"/>
      <c r="C12" s="351"/>
      <c r="D12" s="350"/>
      <c r="E12" s="68"/>
    </row>
    <row r="13" customFormat="false" ht="15" hidden="false" customHeight="true" outlineLevel="0" collapsed="false">
      <c r="A13" s="182" t="s">
        <v>343</v>
      </c>
      <c r="B13" s="361" t="n">
        <f aca="false">+'Compte d''exploitation'!B6</f>
        <v>7400000</v>
      </c>
      <c r="C13" s="361" t="n">
        <f aca="false">+'Compte d''exploitation'!C6</f>
        <v>7548000</v>
      </c>
      <c r="D13" s="361" t="n">
        <f aca="false">+'Compte d''exploitation'!D6</f>
        <v>7698960</v>
      </c>
      <c r="E13" s="68"/>
    </row>
    <row r="14" customFormat="false" ht="15" hidden="false" customHeight="true" outlineLevel="0" collapsed="false">
      <c r="A14" s="350"/>
      <c r="B14" s="350"/>
      <c r="C14" s="351"/>
      <c r="D14" s="350"/>
      <c r="E14" s="68"/>
    </row>
    <row r="15" customFormat="false" ht="15" hidden="false" customHeight="true" outlineLevel="0" collapsed="false">
      <c r="A15" s="362" t="s">
        <v>344</v>
      </c>
      <c r="B15" s="363" t="n">
        <f aca="false">+(B11/B13)</f>
        <v>0.67972972972973</v>
      </c>
      <c r="C15" s="363" t="n">
        <f aca="false">+(C11/C13)</f>
        <v>0.667766295707472</v>
      </c>
      <c r="D15" s="363" t="n">
        <f aca="false">+(D11/D13)</f>
        <v>0.653132890676143</v>
      </c>
      <c r="E15" s="68"/>
      <c r="I15" s="364" t="n">
        <v>0</v>
      </c>
    </row>
    <row r="16" customFormat="false" ht="15" hidden="false" customHeight="true" outlineLevel="0" collapsed="false">
      <c r="E16" s="68"/>
    </row>
    <row r="17" customFormat="false" ht="15" hidden="false" customHeight="true" outlineLevel="0" collapsed="false">
      <c r="A17" s="365" t="s">
        <v>345</v>
      </c>
      <c r="B17" s="366"/>
      <c r="C17" s="367" t="n">
        <f aca="false">+AVERAGE(B15:D15)</f>
        <v>0.666876305371115</v>
      </c>
      <c r="D17" s="366"/>
      <c r="E17" s="68"/>
    </row>
    <row r="18" customFormat="false" ht="15" hidden="false" customHeight="true" outlineLevel="0" collapsed="false">
      <c r="E18" s="68"/>
    </row>
    <row r="19" customFormat="false" ht="15" hidden="false" customHeight="true" outlineLevel="0" collapsed="false">
      <c r="A19" s="368" t="s">
        <v>346</v>
      </c>
      <c r="B19" s="369"/>
      <c r="C19" s="370"/>
      <c r="E19" s="68"/>
    </row>
    <row r="20" customFormat="false" ht="15" hidden="false" customHeight="true" outlineLevel="0" collapsed="false">
      <c r="A20" s="354" t="s">
        <v>48</v>
      </c>
      <c r="B20" s="354" t="s">
        <v>347</v>
      </c>
      <c r="C20" s="371" t="s">
        <v>348</v>
      </c>
      <c r="E20" s="68"/>
    </row>
    <row r="21" customFormat="false" ht="15" hidden="false" customHeight="true" outlineLevel="0" collapsed="false">
      <c r="A21" s="372" t="s">
        <v>349</v>
      </c>
      <c r="B21" s="373"/>
      <c r="C21" s="359" t="n">
        <f aca="false">+'Compte d''exploitation'!D9</f>
        <v>2198016</v>
      </c>
      <c r="E21" s="68"/>
    </row>
    <row r="22" customFormat="false" ht="15" hidden="false" customHeight="true" outlineLevel="0" collapsed="false">
      <c r="A22" s="372" t="s">
        <v>350</v>
      </c>
      <c r="B22" s="373" t="n">
        <f aca="false">+'Compte d''exploitation'!D10</f>
        <v>2205000</v>
      </c>
      <c r="C22" s="359"/>
      <c r="E22" s="68"/>
    </row>
    <row r="23" customFormat="false" ht="15" hidden="false" customHeight="true" outlineLevel="0" collapsed="false">
      <c r="A23" s="372" t="s">
        <v>236</v>
      </c>
      <c r="B23" s="373" t="n">
        <f aca="false">+'Compte d''exploitation'!D19</f>
        <v>198450</v>
      </c>
      <c r="C23" s="359"/>
      <c r="E23" s="68"/>
    </row>
    <row r="24" customFormat="false" ht="17.25" hidden="false" customHeight="true" outlineLevel="0" collapsed="false">
      <c r="A24" s="372" t="s">
        <v>228</v>
      </c>
      <c r="B24" s="373"/>
      <c r="C24" s="359" t="n">
        <f aca="false">+'Compte d''exploitation'!D11</f>
        <v>472500</v>
      </c>
      <c r="E24" s="68"/>
      <c r="J24" s="364" t="n">
        <v>0</v>
      </c>
    </row>
    <row r="25" customFormat="false" ht="15" hidden="false" customHeight="true" outlineLevel="0" collapsed="false">
      <c r="A25" s="372" t="str">
        <f aca="false">+'Compte d''exploitation'!A12</f>
        <v>Autres charges</v>
      </c>
      <c r="B25" s="373"/>
      <c r="C25" s="359" t="n">
        <f aca="false">+'Compte d''exploitation'!D12</f>
        <v>0</v>
      </c>
      <c r="E25" s="68"/>
      <c r="J25" s="344" t="n">
        <v>0</v>
      </c>
    </row>
    <row r="26" customFormat="false" ht="15" hidden="false" customHeight="true" outlineLevel="0" collapsed="false">
      <c r="A26" s="372" t="s">
        <v>351</v>
      </c>
      <c r="B26" s="373" t="n">
        <f aca="false">+'Compte d''exploitation'!D13</f>
        <v>55309.0909090911</v>
      </c>
      <c r="C26" s="359"/>
      <c r="E26" s="68"/>
    </row>
    <row r="27" customFormat="false" ht="15" hidden="false" customHeight="true" outlineLevel="0" collapsed="false">
      <c r="A27" s="372" t="s">
        <v>231</v>
      </c>
      <c r="B27" s="373" t="n">
        <f aca="false">+'Compte d''exploitation'!D14</f>
        <v>953916.666666667</v>
      </c>
      <c r="C27" s="359"/>
      <c r="E27" s="68"/>
    </row>
    <row r="28" customFormat="false" ht="10.5" hidden="false" customHeight="true" outlineLevel="0" collapsed="false">
      <c r="A28" s="182" t="s">
        <v>190</v>
      </c>
      <c r="B28" s="374" t="n">
        <f aca="false">+SUM(B21:B27)</f>
        <v>3412675.75757576</v>
      </c>
      <c r="C28" s="375" t="n">
        <f aca="false">+SUM(C21:C27)</f>
        <v>2670516</v>
      </c>
      <c r="E28" s="68"/>
    </row>
    <row r="29" customFormat="false" ht="18" hidden="false" customHeight="true" outlineLevel="0" collapsed="false">
      <c r="A29" s="369" t="s">
        <v>352</v>
      </c>
      <c r="B29" s="376" t="n">
        <f aca="false">+(B28/(D13-C28))</f>
        <v>0.678674309105512</v>
      </c>
      <c r="C29" s="377" t="s">
        <v>353</v>
      </c>
      <c r="E29" s="68"/>
    </row>
    <row r="30" customFormat="false" ht="9" hidden="false" customHeight="true" outlineLevel="0" collapsed="false">
      <c r="A30" s="369" t="s">
        <v>354</v>
      </c>
      <c r="B30" s="376" t="n">
        <f aca="false">+(('Compte d''exploitation'!B10+'Compte d''exploitation'!B19+'Compte d''exploitation'!B13+'Compte d''exploitation'!B14)/('Compte d''exploitation'!B6-('Compte d''exploitation'!B9+'Compte d''exploitation'!B11+'Compte d''exploitation'!B12)))</f>
        <v>0.698447195614194</v>
      </c>
      <c r="C30" s="377" t="s">
        <v>353</v>
      </c>
      <c r="E30" s="68"/>
    </row>
    <row r="31" customFormat="false" ht="15" hidden="false" customHeight="true" outlineLevel="0" collapsed="false">
      <c r="A31" s="369" t="s">
        <v>355</v>
      </c>
      <c r="B31" s="378" t="n">
        <f aca="false">+'Compte de tresorerie'!D27</f>
        <v>0.415537443653428</v>
      </c>
      <c r="C31" s="370"/>
      <c r="E31" s="68"/>
    </row>
    <row r="32" customFormat="false" ht="10.5" hidden="false" customHeight="true" outlineLevel="0" collapsed="false">
      <c r="E32" s="68"/>
    </row>
    <row r="33" customFormat="false" ht="15" hidden="false" customHeight="true" outlineLevel="0" collapsed="false">
      <c r="A33" s="368" t="s">
        <v>356</v>
      </c>
      <c r="B33" s="379" t="n">
        <f aca="false">+'Compte de tresorerie'!D29</f>
        <v>5129881.70228195</v>
      </c>
      <c r="C33" s="370" t="s">
        <v>357</v>
      </c>
      <c r="E33" s="68"/>
    </row>
    <row r="34" customFormat="false" ht="6.75" hidden="false" customHeight="true" outlineLevel="0" collapsed="false">
      <c r="E34" s="68"/>
    </row>
    <row r="35" customFormat="false" ht="15" hidden="false" customHeight="true" outlineLevel="0" collapsed="false">
      <c r="A35" s="368" t="s">
        <v>358</v>
      </c>
      <c r="B35" s="379"/>
      <c r="C35" s="370"/>
      <c r="E35" s="68"/>
    </row>
    <row r="36" customFormat="false" ht="15" hidden="false" customHeight="true" outlineLevel="0" collapsed="false">
      <c r="A36" s="380" t="s">
        <v>359</v>
      </c>
      <c r="B36" s="381"/>
      <c r="C36" s="382" t="str">
        <f aca="false">+'Compte de tresorerie'!B42</f>
        <v>2 an(s) et 0 mois</v>
      </c>
      <c r="E36" s="68"/>
    </row>
    <row r="37" customFormat="false" ht="15" hidden="false" customHeight="true" outlineLevel="0" collapsed="false">
      <c r="A37" s="380" t="s">
        <v>360</v>
      </c>
      <c r="B37" s="383" t="n">
        <f aca="false">+'Compte de tresorerie'!A24</f>
        <v>0.08</v>
      </c>
      <c r="C37" s="382" t="str">
        <f aca="false">+'Compte de tresorerie'!B51</f>
        <v>2 an(s) et 3 mois</v>
      </c>
      <c r="E37" s="68"/>
    </row>
    <row r="38" customFormat="false" ht="15" hidden="false" customHeight="true" outlineLevel="0" collapsed="false">
      <c r="E38" s="68"/>
    </row>
    <row r="39" customFormat="false" ht="29.25" hidden="false" customHeight="true" outlineLevel="0" collapsed="false">
      <c r="A39" s="384" t="s">
        <v>361</v>
      </c>
      <c r="B39" s="385" t="n">
        <f aca="false">+'Compte de tresorerie'!E11/'Ratios d''analyse'!D13</f>
        <v>0.209868377342426</v>
      </c>
      <c r="C39" s="370"/>
      <c r="E39" s="68"/>
    </row>
    <row r="40" customFormat="false" ht="4.5" hidden="false" customHeight="true" outlineLevel="0" collapsed="false">
      <c r="A40" s="386"/>
      <c r="B40" s="387"/>
      <c r="D40" s="388"/>
      <c r="E40" s="68"/>
    </row>
    <row r="41" customFormat="false" ht="18" hidden="false" customHeight="true" outlineLevel="0" collapsed="false">
      <c r="A41" s="68"/>
      <c r="B41" s="68"/>
      <c r="C41" s="346"/>
      <c r="D41" s="68"/>
      <c r="E41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453125" defaultRowHeight="14.25" zeroHeight="false" outlineLevelRow="0" outlineLevelCol="0"/>
  <cols>
    <col collapsed="false" customWidth="true" hidden="false" outlineLevel="0" max="1" min="1" style="389" width="36.18"/>
    <col collapsed="false" customWidth="true" hidden="false" outlineLevel="0" max="2" min="2" style="67" width="12.45"/>
    <col collapsed="false" customWidth="true" hidden="false" outlineLevel="0" max="3" min="3" style="67" width="12.18"/>
    <col collapsed="false" customWidth="true" hidden="false" outlineLevel="0" max="4" min="4" style="67" width="12.27"/>
    <col collapsed="false" customWidth="true" hidden="false" outlineLevel="0" max="5" min="5" style="67" width="12.54"/>
    <col collapsed="false" customWidth="true" hidden="false" outlineLevel="0" max="7" min="6" style="67" width="13.27"/>
    <col collapsed="false" customWidth="false" hidden="false" outlineLevel="0" max="8" min="8" style="67" width="11.45"/>
    <col collapsed="false" customWidth="true" hidden="false" outlineLevel="0" max="9" min="9" style="67" width="11.27"/>
    <col collapsed="false" customWidth="true" hidden="false" outlineLevel="0" max="11" min="10" style="67" width="11.54"/>
    <col collapsed="false" customWidth="true" hidden="false" outlineLevel="0" max="12" min="12" style="67" width="12.45"/>
    <col collapsed="false" customWidth="true" hidden="false" outlineLevel="0" max="13" min="13" style="67" width="13.27"/>
    <col collapsed="false" customWidth="true" hidden="false" outlineLevel="0" max="14" min="14" style="67" width="12.54"/>
    <col collapsed="false" customWidth="true" hidden="false" outlineLevel="0" max="15" min="15" style="389" width="6.45"/>
    <col collapsed="false" customWidth="false" hidden="false" outlineLevel="0" max="16384" min="16" style="389" width="11.45"/>
  </cols>
  <sheetData>
    <row r="1" customFormat="false" ht="15" hidden="false" customHeight="true" outlineLevel="0" collapsed="false">
      <c r="A1" s="68"/>
      <c r="B1" s="390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2"/>
    </row>
    <row r="2" s="66" customFormat="true" ht="39" hidden="false" customHeight="true" outlineLevel="0" collapsed="false">
      <c r="A2" s="393" t="s">
        <v>362</v>
      </c>
      <c r="B2" s="394" t="s">
        <v>363</v>
      </c>
      <c r="C2" s="395" t="s">
        <v>364</v>
      </c>
      <c r="D2" s="395" t="s">
        <v>365</v>
      </c>
      <c r="E2" s="395" t="s">
        <v>366</v>
      </c>
      <c r="F2" s="395" t="s">
        <v>367</v>
      </c>
      <c r="G2" s="395" t="s">
        <v>368</v>
      </c>
      <c r="H2" s="395" t="s">
        <v>369</v>
      </c>
      <c r="I2" s="395" t="s">
        <v>370</v>
      </c>
      <c r="J2" s="395" t="s">
        <v>371</v>
      </c>
      <c r="K2" s="395" t="s">
        <v>372</v>
      </c>
      <c r="L2" s="395" t="s">
        <v>373</v>
      </c>
      <c r="M2" s="395" t="s">
        <v>374</v>
      </c>
      <c r="N2" s="396" t="s">
        <v>375</v>
      </c>
      <c r="O2" s="392"/>
    </row>
    <row r="3" customFormat="false" ht="15.75" hidden="false" customHeight="true" outlineLevel="0" collapsed="false">
      <c r="A3" s="397"/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2"/>
    </row>
    <row r="4" customFormat="false" ht="15" hidden="false" customHeight="true" outlineLevel="0" collapsed="false">
      <c r="A4" s="79" t="s">
        <v>243</v>
      </c>
      <c r="B4" s="80" t="n">
        <f aca="false">+'Compte de tresorerie'!B6</f>
        <v>500000</v>
      </c>
      <c r="C4" s="398"/>
      <c r="D4" s="398" t="n">
        <f aca="false">+C4</f>
        <v>0</v>
      </c>
      <c r="E4" s="398" t="n">
        <f aca="false">+D4</f>
        <v>0</v>
      </c>
      <c r="F4" s="398"/>
      <c r="G4" s="398"/>
      <c r="H4" s="398"/>
      <c r="I4" s="398"/>
      <c r="J4" s="398"/>
      <c r="K4" s="398"/>
      <c r="L4" s="398"/>
      <c r="M4" s="398"/>
      <c r="N4" s="398"/>
      <c r="O4" s="399" t="b">
        <f aca="false">+B4='Compte de tresorerie'!B6</f>
        <v>1</v>
      </c>
    </row>
    <row r="5" customFormat="false" ht="15" hidden="false" customHeight="true" outlineLevel="0" collapsed="false">
      <c r="A5" s="79" t="s">
        <v>244</v>
      </c>
      <c r="B5" s="80" t="n">
        <f aca="false">+'Compte de tresorerie'!B7</f>
        <v>3000000</v>
      </c>
      <c r="C5" s="398"/>
      <c r="D5" s="398" t="n">
        <f aca="false">C5</f>
        <v>0</v>
      </c>
      <c r="E5" s="398" t="n">
        <f aca="false">D5</f>
        <v>0</v>
      </c>
      <c r="F5" s="398"/>
      <c r="G5" s="398"/>
      <c r="H5" s="398" t="n">
        <f aca="false">G5</f>
        <v>0</v>
      </c>
      <c r="I5" s="398" t="n">
        <f aca="false">H5</f>
        <v>0</v>
      </c>
      <c r="J5" s="398" t="n">
        <f aca="false">I5</f>
        <v>0</v>
      </c>
      <c r="K5" s="398" t="n">
        <f aca="false">J5</f>
        <v>0</v>
      </c>
      <c r="L5" s="398" t="n">
        <f aca="false">K5</f>
        <v>0</v>
      </c>
      <c r="M5" s="398" t="n">
        <f aca="false">L5</f>
        <v>0</v>
      </c>
      <c r="N5" s="398" t="n">
        <f aca="false">M5</f>
        <v>0</v>
      </c>
      <c r="O5" s="399" t="b">
        <f aca="false">+B5='Compte de tresorerie'!B7</f>
        <v>1</v>
      </c>
    </row>
    <row r="6" customFormat="false" ht="15" hidden="false" customHeight="true" outlineLevel="0" collapsed="false">
      <c r="A6" s="79" t="s">
        <v>245</v>
      </c>
      <c r="B6" s="80" t="n">
        <f aca="false">+'Compte de tresorerie'!B8</f>
        <v>0</v>
      </c>
      <c r="C6" s="398"/>
      <c r="D6" s="398" t="n">
        <f aca="false">C6</f>
        <v>0</v>
      </c>
      <c r="E6" s="398" t="n">
        <f aca="false">D6</f>
        <v>0</v>
      </c>
      <c r="F6" s="398"/>
      <c r="G6" s="398"/>
      <c r="H6" s="398"/>
      <c r="I6" s="398"/>
      <c r="J6" s="398"/>
      <c r="K6" s="398"/>
      <c r="L6" s="398"/>
      <c r="M6" s="398"/>
      <c r="N6" s="398"/>
      <c r="O6" s="399" t="b">
        <f aca="false">+B6='Compte de tresorerie'!B8</f>
        <v>1</v>
      </c>
    </row>
    <row r="7" customFormat="false" ht="15" hidden="false" customHeight="true" outlineLevel="0" collapsed="false">
      <c r="A7" s="79" t="s">
        <v>246</v>
      </c>
      <c r="B7" s="80" t="n">
        <f aca="false">+'Compte de tresorerie'!B9</f>
        <v>1500000</v>
      </c>
      <c r="C7" s="398"/>
      <c r="D7" s="398" t="n">
        <f aca="false">C7</f>
        <v>0</v>
      </c>
      <c r="E7" s="398" t="n">
        <f aca="false">D7</f>
        <v>0</v>
      </c>
      <c r="F7" s="398"/>
      <c r="G7" s="398"/>
      <c r="H7" s="398"/>
      <c r="I7" s="398"/>
      <c r="J7" s="398"/>
      <c r="K7" s="398"/>
      <c r="L7" s="398"/>
      <c r="M7" s="398"/>
      <c r="N7" s="398"/>
      <c r="O7" s="399" t="b">
        <f aca="false">+B7='Compte de tresorerie'!B9</f>
        <v>1</v>
      </c>
    </row>
    <row r="8" customFormat="false" ht="15" hidden="false" customHeight="true" outlineLevel="0" collapsed="false">
      <c r="A8" s="79" t="s">
        <v>247</v>
      </c>
      <c r="B8" s="80" t="n">
        <f aca="false">+'Compte de tresorerie'!B10</f>
        <v>0</v>
      </c>
      <c r="C8" s="398" t="n">
        <f aca="false">+'Compte de tresorerie'!C10/12</f>
        <v>80743.0555555556</v>
      </c>
      <c r="D8" s="398" t="n">
        <f aca="false">C8</f>
        <v>80743.0555555556</v>
      </c>
      <c r="E8" s="398" t="n">
        <f aca="false">D8</f>
        <v>80743.0555555556</v>
      </c>
      <c r="F8" s="398" t="n">
        <f aca="false">+E8</f>
        <v>80743.0555555556</v>
      </c>
      <c r="G8" s="398" t="n">
        <f aca="false">+F8</f>
        <v>80743.0555555556</v>
      </c>
      <c r="H8" s="398" t="n">
        <f aca="false">+G8</f>
        <v>80743.0555555556</v>
      </c>
      <c r="I8" s="398" t="n">
        <f aca="false">+H8</f>
        <v>80743.0555555556</v>
      </c>
      <c r="J8" s="398" t="n">
        <f aca="false">+I8</f>
        <v>80743.0555555556</v>
      </c>
      <c r="K8" s="398" t="n">
        <f aca="false">+J8</f>
        <v>80743.0555555556</v>
      </c>
      <c r="L8" s="398" t="n">
        <f aca="false">+K8</f>
        <v>80743.0555555556</v>
      </c>
      <c r="M8" s="398" t="n">
        <f aca="false">+L8</f>
        <v>80743.0555555556</v>
      </c>
      <c r="N8" s="398" t="n">
        <f aca="false">+M8</f>
        <v>80743.0555555556</v>
      </c>
      <c r="O8" s="399" t="b">
        <f aca="false">SUM(C8:N8)='Compte de tresorerie'!C10</f>
        <v>1</v>
      </c>
    </row>
    <row r="9" customFormat="false" ht="15" hidden="false" customHeight="true" outlineLevel="0" collapsed="false">
      <c r="A9" s="79" t="s">
        <v>237</v>
      </c>
      <c r="B9" s="80" t="n">
        <f aca="false">+'Compte de tresorerie'!B11</f>
        <v>0</v>
      </c>
      <c r="C9" s="398" t="n">
        <f aca="false">+'Compte de tresorerie'!C11/12</f>
        <v>126400.883838384</v>
      </c>
      <c r="D9" s="398" t="n">
        <f aca="false">C9</f>
        <v>126400.883838384</v>
      </c>
      <c r="E9" s="398" t="n">
        <f aca="false">D9</f>
        <v>126400.883838384</v>
      </c>
      <c r="F9" s="398" t="n">
        <f aca="false">+E9</f>
        <v>126400.883838384</v>
      </c>
      <c r="G9" s="398" t="n">
        <f aca="false">+F9</f>
        <v>126400.883838384</v>
      </c>
      <c r="H9" s="398" t="n">
        <f aca="false">+G9</f>
        <v>126400.883838384</v>
      </c>
      <c r="I9" s="398" t="n">
        <f aca="false">+H9</f>
        <v>126400.883838384</v>
      </c>
      <c r="J9" s="398" t="n">
        <f aca="false">+I9</f>
        <v>126400.883838384</v>
      </c>
      <c r="K9" s="398" t="n">
        <f aca="false">+J9</f>
        <v>126400.883838384</v>
      </c>
      <c r="L9" s="398" t="n">
        <f aca="false">+K9</f>
        <v>126400.883838384</v>
      </c>
      <c r="M9" s="398" t="n">
        <f aca="false">+L9</f>
        <v>126400.883838384</v>
      </c>
      <c r="N9" s="398" t="n">
        <f aca="false">+M9</f>
        <v>126400.883838384</v>
      </c>
      <c r="O9" s="399" t="b">
        <f aca="false">SUM(C9:N9)='Compte de tresorerie'!C11</f>
        <v>1</v>
      </c>
    </row>
    <row r="10" customFormat="false" ht="15" hidden="false" customHeight="true" outlineLevel="0" collapsed="false">
      <c r="A10" s="352" t="s">
        <v>376</v>
      </c>
      <c r="B10" s="400"/>
      <c r="C10" s="401" t="n">
        <f aca="false">SUM(C3:C9)</f>
        <v>207143.939393939</v>
      </c>
      <c r="D10" s="401" t="n">
        <f aca="false">SUM(D3:D9)</f>
        <v>207143.939393939</v>
      </c>
      <c r="E10" s="401" t="n">
        <f aca="false">SUM(E3:E9)</f>
        <v>207143.939393939</v>
      </c>
      <c r="F10" s="401" t="n">
        <f aca="false">SUM(F3:F9)</f>
        <v>207143.939393939</v>
      </c>
      <c r="G10" s="401" t="n">
        <f aca="false">SUM(G3:G9)</f>
        <v>207143.939393939</v>
      </c>
      <c r="H10" s="401" t="n">
        <f aca="false">SUM(H3:H9)</f>
        <v>207143.939393939</v>
      </c>
      <c r="I10" s="401" t="n">
        <f aca="false">SUM(I3:I9)</f>
        <v>207143.939393939</v>
      </c>
      <c r="J10" s="401" t="n">
        <f aca="false">SUM(J3:J9)</f>
        <v>207143.939393939</v>
      </c>
      <c r="K10" s="401" t="n">
        <f aca="false">SUM(K3:K9)</f>
        <v>207143.939393939</v>
      </c>
      <c r="L10" s="401" t="n">
        <f aca="false">SUM(L3:L9)</f>
        <v>207143.939393939</v>
      </c>
      <c r="M10" s="401" t="n">
        <f aca="false">SUM(M3:M9)</f>
        <v>207143.939393939</v>
      </c>
      <c r="N10" s="401" t="n">
        <f aca="false">SUM(N3:N9)</f>
        <v>207143.939393939</v>
      </c>
      <c r="O10" s="392"/>
    </row>
    <row r="11" customFormat="false" ht="15" hidden="false" customHeight="true" outlineLevel="0" collapsed="false">
      <c r="A11" s="402" t="s">
        <v>250</v>
      </c>
      <c r="B11" s="80" t="n">
        <f aca="false">+'Compte de tresorerie'!B14</f>
        <v>15000</v>
      </c>
      <c r="C11" s="398"/>
      <c r="D11" s="398" t="n">
        <f aca="false">C11</f>
        <v>0</v>
      </c>
      <c r="E11" s="398" t="n">
        <f aca="false">D11</f>
        <v>0</v>
      </c>
      <c r="F11" s="398" t="n">
        <f aca="false">E11</f>
        <v>0</v>
      </c>
      <c r="G11" s="398" t="n">
        <f aca="false">F11</f>
        <v>0</v>
      </c>
      <c r="H11" s="398" t="n">
        <f aca="false">G11</f>
        <v>0</v>
      </c>
      <c r="I11" s="398" t="n">
        <f aca="false">H11</f>
        <v>0</v>
      </c>
      <c r="J11" s="398" t="n">
        <f aca="false">I11</f>
        <v>0</v>
      </c>
      <c r="K11" s="398" t="n">
        <f aca="false">J11</f>
        <v>0</v>
      </c>
      <c r="L11" s="398" t="n">
        <f aca="false">K11</f>
        <v>0</v>
      </c>
      <c r="M11" s="398" t="n">
        <f aca="false">L11</f>
        <v>0</v>
      </c>
      <c r="N11" s="398" t="n">
        <f aca="false">M11</f>
        <v>0</v>
      </c>
      <c r="O11" s="392"/>
    </row>
    <row r="12" customFormat="false" ht="15" hidden="false" customHeight="true" outlineLevel="0" collapsed="false">
      <c r="A12" s="402" t="s">
        <v>251</v>
      </c>
      <c r="B12" s="80" t="n">
        <f aca="false">+'Compte de tresorerie'!B15</f>
        <v>3985000</v>
      </c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2"/>
    </row>
    <row r="13" customFormat="false" ht="15" hidden="false" customHeight="true" outlineLevel="0" collapsed="false">
      <c r="A13" s="402" t="s">
        <v>252</v>
      </c>
      <c r="B13" s="80" t="n">
        <f aca="false">+'Compte de tresorerie'!B16</f>
        <v>1000000</v>
      </c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98"/>
      <c r="N13" s="398"/>
      <c r="O13" s="392"/>
    </row>
    <row r="14" customFormat="false" ht="15" hidden="false" customHeight="true" outlineLevel="0" collapsed="false">
      <c r="A14" s="402" t="s">
        <v>253</v>
      </c>
      <c r="B14" s="80"/>
      <c r="C14" s="398" t="n">
        <f aca="false">+'Compte de tresorerie'!C17/12</f>
        <v>68181.8181818182</v>
      </c>
      <c r="D14" s="398" t="n">
        <f aca="false">+C14</f>
        <v>68181.8181818182</v>
      </c>
      <c r="E14" s="398" t="n">
        <f aca="false">+D14</f>
        <v>68181.8181818182</v>
      </c>
      <c r="F14" s="398" t="n">
        <f aca="false">+E14</f>
        <v>68181.8181818182</v>
      </c>
      <c r="G14" s="398" t="n">
        <f aca="false">+F14</f>
        <v>68181.8181818182</v>
      </c>
      <c r="H14" s="398" t="n">
        <f aca="false">+G14</f>
        <v>68181.8181818182</v>
      </c>
      <c r="I14" s="398" t="n">
        <f aca="false">+H14</f>
        <v>68181.8181818182</v>
      </c>
      <c r="J14" s="398" t="n">
        <f aca="false">+I14</f>
        <v>68181.8181818182</v>
      </c>
      <c r="K14" s="398" t="n">
        <f aca="false">+J14</f>
        <v>68181.8181818182</v>
      </c>
      <c r="L14" s="398" t="n">
        <f aca="false">+K14</f>
        <v>68181.8181818182</v>
      </c>
      <c r="M14" s="398" t="n">
        <f aca="false">+L14</f>
        <v>68181.8181818182</v>
      </c>
      <c r="N14" s="398" t="n">
        <f aca="false">+M14</f>
        <v>68181.8181818182</v>
      </c>
      <c r="O14" s="392"/>
    </row>
    <row r="15" customFormat="false" ht="15" hidden="false" customHeight="true" outlineLevel="0" collapsed="false">
      <c r="A15" s="352" t="s">
        <v>377</v>
      </c>
      <c r="B15" s="403" t="n">
        <f aca="false">SUM(B11:B14)</f>
        <v>5000000</v>
      </c>
      <c r="C15" s="403" t="n">
        <f aca="false">SUM(C11:C14)</f>
        <v>68181.8181818182</v>
      </c>
      <c r="D15" s="403" t="n">
        <f aca="false">SUM(D11:D14)</f>
        <v>68181.8181818182</v>
      </c>
      <c r="E15" s="403" t="n">
        <f aca="false">SUM(E11:E14)</f>
        <v>68181.8181818182</v>
      </c>
      <c r="F15" s="403" t="n">
        <f aca="false">SUM(F11:F14)</f>
        <v>68181.8181818182</v>
      </c>
      <c r="G15" s="403" t="n">
        <f aca="false">SUM(G11:G14)</f>
        <v>68181.8181818182</v>
      </c>
      <c r="H15" s="403" t="n">
        <f aca="false">SUM(H11:H14)</f>
        <v>68181.8181818182</v>
      </c>
      <c r="I15" s="403" t="n">
        <f aca="false">SUM(I11:I14)</f>
        <v>68181.8181818182</v>
      </c>
      <c r="J15" s="403" t="n">
        <f aca="false">SUM(J11:J14)</f>
        <v>68181.8181818182</v>
      </c>
      <c r="K15" s="403" t="n">
        <f aca="false">SUM(K11:K14)</f>
        <v>68181.8181818182</v>
      </c>
      <c r="L15" s="403" t="n">
        <f aca="false">SUM(L11:L14)</f>
        <v>68181.8181818182</v>
      </c>
      <c r="M15" s="403" t="n">
        <f aca="false">SUM(M11:M14)</f>
        <v>68181.8181818182</v>
      </c>
      <c r="N15" s="403" t="n">
        <f aca="false">SUM(N11:N14)</f>
        <v>68181.8181818182</v>
      </c>
      <c r="O15" s="392"/>
    </row>
    <row r="16" customFormat="false" ht="15.75" hidden="false" customHeight="true" outlineLevel="0" collapsed="false">
      <c r="A16" s="404"/>
      <c r="B16" s="404"/>
      <c r="C16" s="404"/>
      <c r="D16" s="404"/>
      <c r="E16" s="404"/>
      <c r="F16" s="404"/>
      <c r="G16" s="404"/>
      <c r="H16" s="404"/>
      <c r="I16" s="404"/>
      <c r="J16" s="404"/>
      <c r="K16" s="404"/>
      <c r="L16" s="404"/>
      <c r="M16" s="404"/>
      <c r="N16" s="404"/>
      <c r="O16" s="392"/>
    </row>
    <row r="17" s="406" customFormat="true" ht="15.75" hidden="false" customHeight="true" outlineLevel="0" collapsed="false">
      <c r="A17" s="354" t="s">
        <v>378</v>
      </c>
      <c r="B17" s="355"/>
      <c r="C17" s="356" t="n">
        <f aca="false">C10-C15</f>
        <v>138962.121212121</v>
      </c>
      <c r="D17" s="356" t="n">
        <f aca="false">D10-D15</f>
        <v>138962.121212121</v>
      </c>
      <c r="E17" s="356" t="n">
        <f aca="false">E10-E15</f>
        <v>138962.121212121</v>
      </c>
      <c r="F17" s="356" t="n">
        <f aca="false">F10-F15</f>
        <v>138962.121212121</v>
      </c>
      <c r="G17" s="356" t="n">
        <f aca="false">G10-G15</f>
        <v>138962.121212121</v>
      </c>
      <c r="H17" s="356" t="n">
        <f aca="false">H10-H15</f>
        <v>138962.121212121</v>
      </c>
      <c r="I17" s="356" t="n">
        <f aca="false">I10-I15</f>
        <v>138962.121212121</v>
      </c>
      <c r="J17" s="356" t="n">
        <f aca="false">J10-J15</f>
        <v>138962.121212121</v>
      </c>
      <c r="K17" s="356" t="n">
        <f aca="false">K10-K15</f>
        <v>138962.121212121</v>
      </c>
      <c r="L17" s="356" t="n">
        <f aca="false">L10-L15</f>
        <v>138962.121212121</v>
      </c>
      <c r="M17" s="356" t="n">
        <f aca="false">M10-M15</f>
        <v>138962.121212121</v>
      </c>
      <c r="N17" s="405" t="n">
        <f aca="false">N10-N15</f>
        <v>138962.121212121</v>
      </c>
      <c r="O17" s="392"/>
    </row>
    <row r="18" customFormat="false" ht="16.5" hidden="false" customHeight="true" outlineLevel="0" collapsed="false">
      <c r="A18" s="407"/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392"/>
    </row>
    <row r="19" s="406" customFormat="true" ht="15" hidden="false" customHeight="true" outlineLevel="0" collapsed="false">
      <c r="A19" s="354" t="s">
        <v>379</v>
      </c>
      <c r="B19" s="355"/>
      <c r="C19" s="356" t="n">
        <f aca="false">C17</f>
        <v>138962.121212121</v>
      </c>
      <c r="D19" s="356" t="n">
        <f aca="false">C19+D17</f>
        <v>277924.242424242</v>
      </c>
      <c r="E19" s="356" t="n">
        <f aca="false">D19+E17</f>
        <v>416886.363636364</v>
      </c>
      <c r="F19" s="356" t="n">
        <f aca="false">E19+F17</f>
        <v>555848.484848485</v>
      </c>
      <c r="G19" s="356" t="n">
        <f aca="false">F19+G17</f>
        <v>694810.606060606</v>
      </c>
      <c r="H19" s="356" t="n">
        <f aca="false">G19+H17</f>
        <v>833772.727272727</v>
      </c>
      <c r="I19" s="356" t="n">
        <f aca="false">H19+I17</f>
        <v>972734.848484848</v>
      </c>
      <c r="J19" s="356" t="n">
        <f aca="false">I19+J17</f>
        <v>1111696.96969697</v>
      </c>
      <c r="K19" s="356" t="n">
        <f aca="false">J19+K17</f>
        <v>1250659.09090909</v>
      </c>
      <c r="L19" s="356" t="n">
        <f aca="false">K19+L17</f>
        <v>1389621.21212121</v>
      </c>
      <c r="M19" s="356" t="n">
        <f aca="false">L19+M17</f>
        <v>1528583.33333333</v>
      </c>
      <c r="N19" s="405" t="n">
        <f aca="false">M19+N17</f>
        <v>1667545.45454545</v>
      </c>
      <c r="O19" s="399" t="b">
        <f aca="false">+N19='Compte de tresorerie'!C21</f>
        <v>1</v>
      </c>
    </row>
    <row r="20" customFormat="false" ht="15" hidden="false" customHeight="true" outlineLevel="0" collapsed="false">
      <c r="A20" s="392"/>
      <c r="B20" s="408"/>
      <c r="C20" s="409"/>
      <c r="D20" s="409"/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392"/>
    </row>
  </sheetData>
  <mergeCells count="3">
    <mergeCell ref="A3:N3"/>
    <mergeCell ref="A16:N16"/>
    <mergeCell ref="A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8" activeCellId="0" sqref="G8"/>
    </sheetView>
  </sheetViews>
  <sheetFormatPr defaultColWidth="11.453125" defaultRowHeight="14.25" zeroHeight="false" outlineLevelRow="0" outlineLevelCol="0"/>
  <cols>
    <col collapsed="false" customWidth="true" hidden="false" outlineLevel="0" max="1" min="1" style="410" width="37.54"/>
    <col collapsed="false" customWidth="true" hidden="false" outlineLevel="0" max="2" min="2" style="411" width="11.73"/>
    <col collapsed="false" customWidth="true" hidden="false" outlineLevel="0" max="3" min="3" style="411" width="12.45"/>
    <col collapsed="false" customWidth="true" hidden="false" outlineLevel="0" max="4" min="4" style="411" width="11.82"/>
    <col collapsed="false" customWidth="true" hidden="false" outlineLevel="0" max="5" min="5" style="411" width="11.09"/>
    <col collapsed="false" customWidth="true" hidden="false" outlineLevel="0" max="6" min="6" style="411" width="11.73"/>
    <col collapsed="false" customWidth="true" hidden="false" outlineLevel="0" max="7" min="7" style="411" width="11.27"/>
    <col collapsed="false" customWidth="true" hidden="false" outlineLevel="0" max="8" min="8" style="411" width="12"/>
    <col collapsed="false" customWidth="false" hidden="false" outlineLevel="0" max="9" min="9" style="411" width="11.45"/>
    <col collapsed="false" customWidth="true" hidden="false" outlineLevel="0" max="10" min="10" style="411" width="11.54"/>
    <col collapsed="false" customWidth="true" hidden="false" outlineLevel="0" max="11" min="11" style="411" width="12.45"/>
    <col collapsed="false" customWidth="true" hidden="false" outlineLevel="0" max="12" min="12" style="411" width="12.18"/>
    <col collapsed="false" customWidth="true" hidden="false" outlineLevel="0" max="13" min="13" style="411" width="11.09"/>
    <col collapsed="false" customWidth="true" hidden="false" outlineLevel="0" max="14" min="14" style="412" width="5.45"/>
    <col collapsed="false" customWidth="false" hidden="false" outlineLevel="0" max="16384" min="15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413"/>
    </row>
    <row r="2" customFormat="false" ht="15" hidden="false" customHeight="true" outlineLevel="0" collapsed="false">
      <c r="A2" s="414" t="s">
        <v>86</v>
      </c>
      <c r="B2" s="415" t="s">
        <v>364</v>
      </c>
      <c r="C2" s="415" t="s">
        <v>365</v>
      </c>
      <c r="D2" s="415" t="s">
        <v>380</v>
      </c>
      <c r="E2" s="415" t="s">
        <v>367</v>
      </c>
      <c r="F2" s="415" t="s">
        <v>368</v>
      </c>
      <c r="G2" s="415" t="s">
        <v>369</v>
      </c>
      <c r="H2" s="415" t="s">
        <v>370</v>
      </c>
      <c r="I2" s="415" t="s">
        <v>371</v>
      </c>
      <c r="J2" s="415" t="s">
        <v>372</v>
      </c>
      <c r="K2" s="415" t="s">
        <v>373</v>
      </c>
      <c r="L2" s="415" t="s">
        <v>374</v>
      </c>
      <c r="M2" s="415" t="s">
        <v>375</v>
      </c>
      <c r="N2" s="392"/>
    </row>
    <row r="3" customFormat="false" ht="15" hidden="false" customHeight="true" outlineLevel="0" collapsed="false">
      <c r="A3" s="416" t="s">
        <v>381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392"/>
    </row>
    <row r="4" customFormat="false" ht="15" hidden="false" customHeight="true" outlineLevel="0" collapsed="false">
      <c r="A4" s="418" t="str">
        <f aca="false">+'Eléments du compte d''exploitati'!A7</f>
        <v>Vente pastèque gros calibre</v>
      </c>
      <c r="B4" s="419" t="n">
        <f aca="false">+'Eléments du compte d''exploitati'!B7/12</f>
        <v>466666.666666667</v>
      </c>
      <c r="C4" s="419" t="n">
        <f aca="false">B4</f>
        <v>466666.666666667</v>
      </c>
      <c r="D4" s="419" t="n">
        <f aca="false">C4</f>
        <v>466666.666666667</v>
      </c>
      <c r="E4" s="419" t="n">
        <f aca="false">D4</f>
        <v>466666.666666667</v>
      </c>
      <c r="F4" s="419" t="n">
        <f aca="false">E4</f>
        <v>466666.666666667</v>
      </c>
      <c r="G4" s="419" t="n">
        <f aca="false">F4</f>
        <v>466666.666666667</v>
      </c>
      <c r="H4" s="419" t="n">
        <f aca="false">G4</f>
        <v>466666.666666667</v>
      </c>
      <c r="I4" s="419" t="n">
        <f aca="false">H4</f>
        <v>466666.666666667</v>
      </c>
      <c r="J4" s="419" t="n">
        <f aca="false">I4</f>
        <v>466666.666666667</v>
      </c>
      <c r="K4" s="419" t="n">
        <f aca="false">J4</f>
        <v>466666.666666667</v>
      </c>
      <c r="L4" s="419" t="n">
        <f aca="false">K4</f>
        <v>466666.666666667</v>
      </c>
      <c r="M4" s="419" t="n">
        <f aca="false">L4</f>
        <v>466666.666666667</v>
      </c>
      <c r="N4" s="399" t="b">
        <f aca="false">+SUM(B4:M4)='Eléments du compte d''exploitati'!B7</f>
        <v>1</v>
      </c>
    </row>
    <row r="5" customFormat="false" ht="15" hidden="false" customHeight="true" outlineLevel="0" collapsed="false">
      <c r="A5" s="418" t="str">
        <f aca="false">+'Eléments du compte d''exploitati'!A8</f>
        <v>Vente pastèque moyen calibre</v>
      </c>
      <c r="B5" s="419" t="n">
        <f aca="false">+'Eléments du compte d''exploitati'!B8/12</f>
        <v>150000</v>
      </c>
      <c r="C5" s="419" t="n">
        <f aca="false">B5</f>
        <v>150000</v>
      </c>
      <c r="D5" s="419" t="n">
        <f aca="false">C5</f>
        <v>150000</v>
      </c>
      <c r="E5" s="419" t="n">
        <f aca="false">D5</f>
        <v>150000</v>
      </c>
      <c r="F5" s="419" t="n">
        <f aca="false">E5</f>
        <v>150000</v>
      </c>
      <c r="G5" s="419" t="n">
        <f aca="false">F5</f>
        <v>150000</v>
      </c>
      <c r="H5" s="419" t="n">
        <f aca="false">G5</f>
        <v>150000</v>
      </c>
      <c r="I5" s="419" t="n">
        <f aca="false">H5</f>
        <v>150000</v>
      </c>
      <c r="J5" s="419" t="n">
        <f aca="false">I5</f>
        <v>150000</v>
      </c>
      <c r="K5" s="419" t="n">
        <f aca="false">J5</f>
        <v>150000</v>
      </c>
      <c r="L5" s="419" t="n">
        <f aca="false">K5</f>
        <v>150000</v>
      </c>
      <c r="M5" s="419" t="n">
        <f aca="false">L5</f>
        <v>150000</v>
      </c>
      <c r="N5" s="399" t="b">
        <f aca="false">+SUM(B5:M5)='Eléments du compte d''exploitati'!B8</f>
        <v>1</v>
      </c>
    </row>
    <row r="6" customFormat="false" ht="15" hidden="false" customHeight="true" outlineLevel="0" collapsed="false">
      <c r="A6" s="418" t="n">
        <f aca="false">+'Eléments du compte d''exploitati'!A9</f>
        <v>0</v>
      </c>
      <c r="B6" s="419" t="n">
        <f aca="false">+'Eléments du compte d''exploitati'!B9/12</f>
        <v>0</v>
      </c>
      <c r="C6" s="419" t="n">
        <f aca="false">B6</f>
        <v>0</v>
      </c>
      <c r="D6" s="419" t="n">
        <f aca="false">C6</f>
        <v>0</v>
      </c>
      <c r="E6" s="419" t="n">
        <f aca="false">D6</f>
        <v>0</v>
      </c>
      <c r="F6" s="419" t="n">
        <f aca="false">E6</f>
        <v>0</v>
      </c>
      <c r="G6" s="419" t="n">
        <f aca="false">F6</f>
        <v>0</v>
      </c>
      <c r="H6" s="419" t="n">
        <f aca="false">G6</f>
        <v>0</v>
      </c>
      <c r="I6" s="419" t="n">
        <f aca="false">H6</f>
        <v>0</v>
      </c>
      <c r="J6" s="419" t="n">
        <f aca="false">I6</f>
        <v>0</v>
      </c>
      <c r="K6" s="419" t="n">
        <f aca="false">J6</f>
        <v>0</v>
      </c>
      <c r="L6" s="419" t="n">
        <f aca="false">K6</f>
        <v>0</v>
      </c>
      <c r="M6" s="419" t="n">
        <f aca="false">L6</f>
        <v>0</v>
      </c>
      <c r="N6" s="399" t="b">
        <f aca="false">+SUM(B6:M6)='Eléments du compte d''exploitati'!B9</f>
        <v>1</v>
      </c>
    </row>
    <row r="7" customFormat="false" ht="15" hidden="false" customHeight="true" outlineLevel="0" collapsed="false">
      <c r="A7" s="418" t="n">
        <f aca="false">+'Eléments du compte d''exploitati'!A10</f>
        <v>0</v>
      </c>
      <c r="B7" s="419" t="n">
        <f aca="false">+'Eléments du compte d''exploitati'!B10/12</f>
        <v>0</v>
      </c>
      <c r="C7" s="419" t="n">
        <f aca="false">B7</f>
        <v>0</v>
      </c>
      <c r="D7" s="419" t="n">
        <f aca="false">C7</f>
        <v>0</v>
      </c>
      <c r="E7" s="419" t="n">
        <f aca="false">D7</f>
        <v>0</v>
      </c>
      <c r="F7" s="419" t="n">
        <f aca="false">E7</f>
        <v>0</v>
      </c>
      <c r="G7" s="419" t="n">
        <f aca="false">F7</f>
        <v>0</v>
      </c>
      <c r="H7" s="419" t="n">
        <f aca="false">G7</f>
        <v>0</v>
      </c>
      <c r="I7" s="419" t="n">
        <f aca="false">H7</f>
        <v>0</v>
      </c>
      <c r="J7" s="419" t="n">
        <f aca="false">I7</f>
        <v>0</v>
      </c>
      <c r="K7" s="419" t="n">
        <f aca="false">J7</f>
        <v>0</v>
      </c>
      <c r="L7" s="419" t="n">
        <f aca="false">K7</f>
        <v>0</v>
      </c>
      <c r="M7" s="419" t="n">
        <f aca="false">L7</f>
        <v>0</v>
      </c>
      <c r="N7" s="399" t="b">
        <f aca="false">+SUM(B7:M7)='Eléments du compte d''exploitati'!B10</f>
        <v>1</v>
      </c>
    </row>
    <row r="8" customFormat="false" ht="15" hidden="false" customHeight="true" outlineLevel="0" collapsed="false">
      <c r="A8" s="418" t="n">
        <f aca="false">+'Eléments du compte d''exploitati'!A11</f>
        <v>0</v>
      </c>
      <c r="B8" s="419" t="n">
        <f aca="false">+'Eléments du compte d''exploitati'!B11/12</f>
        <v>0</v>
      </c>
      <c r="C8" s="419" t="n">
        <f aca="false">B8</f>
        <v>0</v>
      </c>
      <c r="D8" s="419" t="n">
        <f aca="false">C8</f>
        <v>0</v>
      </c>
      <c r="E8" s="419" t="n">
        <f aca="false">D8</f>
        <v>0</v>
      </c>
      <c r="F8" s="419" t="n">
        <f aca="false">E8</f>
        <v>0</v>
      </c>
      <c r="G8" s="419" t="n">
        <f aca="false">F8</f>
        <v>0</v>
      </c>
      <c r="H8" s="419" t="n">
        <f aca="false">G8</f>
        <v>0</v>
      </c>
      <c r="I8" s="419" t="n">
        <f aca="false">H8</f>
        <v>0</v>
      </c>
      <c r="J8" s="419" t="n">
        <f aca="false">I8</f>
        <v>0</v>
      </c>
      <c r="K8" s="419" t="n">
        <f aca="false">J8</f>
        <v>0</v>
      </c>
      <c r="L8" s="419" t="n">
        <f aca="false">K8</f>
        <v>0</v>
      </c>
      <c r="M8" s="419" t="n">
        <f aca="false">L8</f>
        <v>0</v>
      </c>
      <c r="N8" s="399" t="b">
        <f aca="false">+SUM(B8:M8)='Eléments du compte d''exploitati'!B11</f>
        <v>1</v>
      </c>
    </row>
    <row r="9" s="389" customFormat="true" ht="15" hidden="false" customHeight="true" outlineLevel="0" collapsed="false">
      <c r="A9" s="420" t="s">
        <v>382</v>
      </c>
      <c r="B9" s="353" t="n">
        <f aca="false">SUM(B4:B8)</f>
        <v>616666.666666667</v>
      </c>
      <c r="C9" s="353" t="n">
        <f aca="false">SUM(C4:C8)</f>
        <v>616666.666666667</v>
      </c>
      <c r="D9" s="353" t="n">
        <f aca="false">SUM(D4:D8)</f>
        <v>616666.666666667</v>
      </c>
      <c r="E9" s="353" t="n">
        <f aca="false">SUM(E4:E8)</f>
        <v>616666.666666667</v>
      </c>
      <c r="F9" s="353" t="n">
        <f aca="false">SUM(F4:F8)</f>
        <v>616666.666666667</v>
      </c>
      <c r="G9" s="353" t="n">
        <f aca="false">SUM(G4:G8)</f>
        <v>616666.666666667</v>
      </c>
      <c r="H9" s="353" t="n">
        <f aca="false">SUM(H4:H8)</f>
        <v>616666.666666667</v>
      </c>
      <c r="I9" s="353" t="n">
        <f aca="false">SUM(I4:I8)</f>
        <v>616666.666666667</v>
      </c>
      <c r="J9" s="353" t="n">
        <f aca="false">SUM(J4:J8)</f>
        <v>616666.666666667</v>
      </c>
      <c r="K9" s="353" t="n">
        <f aca="false">SUM(K4:K8)</f>
        <v>616666.666666667</v>
      </c>
      <c r="L9" s="353" t="n">
        <f aca="false">SUM(L4:L8)</f>
        <v>616666.666666667</v>
      </c>
      <c r="M9" s="353" t="n">
        <f aca="false">SUM(M4:M8)</f>
        <v>616666.666666667</v>
      </c>
      <c r="N9" s="392"/>
    </row>
    <row r="10" customFormat="false" ht="15" hidden="false" customHeight="true" outlineLevel="0" collapsed="false">
      <c r="A10" s="416" t="s">
        <v>383</v>
      </c>
      <c r="B10" s="417"/>
      <c r="C10" s="417"/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392"/>
    </row>
    <row r="11" customFormat="false" ht="15" hidden="false" customHeight="true" outlineLevel="0" collapsed="false">
      <c r="A11" s="418" t="s">
        <v>384</v>
      </c>
      <c r="B11" s="419" t="n">
        <f aca="false">+'Compte d''exploitation'!B9/12</f>
        <v>160000</v>
      </c>
      <c r="C11" s="419" t="n">
        <f aca="false">B11</f>
        <v>160000</v>
      </c>
      <c r="D11" s="419" t="n">
        <f aca="false">C11</f>
        <v>160000</v>
      </c>
      <c r="E11" s="419" t="n">
        <f aca="false">D11</f>
        <v>160000</v>
      </c>
      <c r="F11" s="419" t="n">
        <f aca="false">E11</f>
        <v>160000</v>
      </c>
      <c r="G11" s="419" t="n">
        <f aca="false">F11</f>
        <v>160000</v>
      </c>
      <c r="H11" s="419" t="n">
        <f aca="false">G11</f>
        <v>160000</v>
      </c>
      <c r="I11" s="419" t="n">
        <f aca="false">H11</f>
        <v>160000</v>
      </c>
      <c r="J11" s="419" t="n">
        <f aca="false">I11</f>
        <v>160000</v>
      </c>
      <c r="K11" s="419" t="n">
        <f aca="false">J11</f>
        <v>160000</v>
      </c>
      <c r="L11" s="419" t="n">
        <f aca="false">K11</f>
        <v>160000</v>
      </c>
      <c r="M11" s="419" t="n">
        <f aca="false">L11</f>
        <v>160000</v>
      </c>
      <c r="N11" s="399" t="b">
        <f aca="false">+SUM(B11:M11)='Compte d''exploitation'!B9</f>
        <v>1</v>
      </c>
    </row>
    <row r="12" customFormat="false" ht="15" hidden="false" customHeight="true" outlineLevel="0" collapsed="false">
      <c r="A12" s="418" t="str">
        <f aca="false">+'Compte d''exploitation'!A10</f>
        <v>Charges de Personnel</v>
      </c>
      <c r="B12" s="419" t="n">
        <f aca="false">+'Compte d''exploitation'!B10/12</f>
        <v>175000</v>
      </c>
      <c r="C12" s="419" t="n">
        <f aca="false">B12</f>
        <v>175000</v>
      </c>
      <c r="D12" s="419" t="n">
        <f aca="false">C12</f>
        <v>175000</v>
      </c>
      <c r="E12" s="419" t="n">
        <f aca="false">D12</f>
        <v>175000</v>
      </c>
      <c r="F12" s="419" t="n">
        <f aca="false">E12</f>
        <v>175000</v>
      </c>
      <c r="G12" s="419" t="n">
        <f aca="false">F12</f>
        <v>175000</v>
      </c>
      <c r="H12" s="419" t="n">
        <f aca="false">G12</f>
        <v>175000</v>
      </c>
      <c r="I12" s="419" t="n">
        <f aca="false">H12</f>
        <v>175000</v>
      </c>
      <c r="J12" s="419" t="n">
        <f aca="false">I12</f>
        <v>175000</v>
      </c>
      <c r="K12" s="419" t="n">
        <f aca="false">J12</f>
        <v>175000</v>
      </c>
      <c r="L12" s="419" t="n">
        <f aca="false">K12</f>
        <v>175000</v>
      </c>
      <c r="M12" s="419" t="n">
        <f aca="false">L12</f>
        <v>175000</v>
      </c>
      <c r="N12" s="399" t="b">
        <f aca="false">+SUM(B12:M12)='Compte d''exploitation'!B10</f>
        <v>1</v>
      </c>
    </row>
    <row r="13" customFormat="false" ht="15" hidden="false" customHeight="true" outlineLevel="0" collapsed="false">
      <c r="A13" s="418" t="str">
        <f aca="false">+'Compte d''exploitation'!A19</f>
        <v>Impôts et taxes</v>
      </c>
      <c r="B13" s="419" t="n">
        <f aca="false">+'Compte d''exploitation'!B19/12</f>
        <v>15750</v>
      </c>
      <c r="C13" s="419" t="n">
        <f aca="false">B13</f>
        <v>15750</v>
      </c>
      <c r="D13" s="419" t="n">
        <f aca="false">C13</f>
        <v>15750</v>
      </c>
      <c r="E13" s="419" t="n">
        <f aca="false">D13</f>
        <v>15750</v>
      </c>
      <c r="F13" s="419" t="n">
        <f aca="false">E13</f>
        <v>15750</v>
      </c>
      <c r="G13" s="419" t="n">
        <f aca="false">F13</f>
        <v>15750</v>
      </c>
      <c r="H13" s="419" t="n">
        <f aca="false">G13</f>
        <v>15750</v>
      </c>
      <c r="I13" s="419" t="n">
        <f aca="false">H13</f>
        <v>15750</v>
      </c>
      <c r="J13" s="419" t="n">
        <f aca="false">I13</f>
        <v>15750</v>
      </c>
      <c r="K13" s="419" t="n">
        <f aca="false">J13</f>
        <v>15750</v>
      </c>
      <c r="L13" s="419" t="n">
        <f aca="false">K13</f>
        <v>15750</v>
      </c>
      <c r="M13" s="419" t="n">
        <f aca="false">L13</f>
        <v>15750</v>
      </c>
      <c r="N13" s="399" t="b">
        <f aca="false">+SUM(B13:M13)='Compte d''exploitation'!B19</f>
        <v>1</v>
      </c>
    </row>
    <row r="14" s="424" customFormat="true" ht="28.5" hidden="false" customHeight="true" outlineLevel="0" collapsed="false">
      <c r="A14" s="421" t="str">
        <f aca="false">+'Compte d''exploitation'!A11</f>
        <v>Travaux-Fournitures et Services Extérieurs (TFSE)</v>
      </c>
      <c r="B14" s="422" t="n">
        <f aca="false">+'Compte d''exploitation'!B11/12</f>
        <v>37500</v>
      </c>
      <c r="C14" s="422" t="n">
        <f aca="false">B14</f>
        <v>37500</v>
      </c>
      <c r="D14" s="422" t="n">
        <f aca="false">C14</f>
        <v>37500</v>
      </c>
      <c r="E14" s="422" t="n">
        <f aca="false">D14</f>
        <v>37500</v>
      </c>
      <c r="F14" s="422" t="n">
        <f aca="false">E14</f>
        <v>37500</v>
      </c>
      <c r="G14" s="422" t="n">
        <f aca="false">F14</f>
        <v>37500</v>
      </c>
      <c r="H14" s="422" t="n">
        <f aca="false">G14</f>
        <v>37500</v>
      </c>
      <c r="I14" s="422" t="n">
        <f aca="false">H14</f>
        <v>37500</v>
      </c>
      <c r="J14" s="422" t="n">
        <f aca="false">I14</f>
        <v>37500</v>
      </c>
      <c r="K14" s="422" t="n">
        <f aca="false">J14</f>
        <v>37500</v>
      </c>
      <c r="L14" s="422" t="n">
        <f aca="false">K14</f>
        <v>37500</v>
      </c>
      <c r="M14" s="422" t="n">
        <f aca="false">L14</f>
        <v>37500</v>
      </c>
      <c r="N14" s="423" t="b">
        <f aca="false">+SUM(B14:M14)='Compte d''exploitation'!B11</f>
        <v>1</v>
      </c>
    </row>
    <row r="15" customFormat="false" ht="15" hidden="false" customHeight="true" outlineLevel="0" collapsed="false">
      <c r="A15" s="418" t="str">
        <f aca="false">+'Compte d''exploitation'!A12</f>
        <v>Autres charges</v>
      </c>
      <c r="B15" s="419" t="n">
        <f aca="false">+'Compte d''exploitation'!B12/12</f>
        <v>0</v>
      </c>
      <c r="C15" s="419" t="n">
        <f aca="false">B15</f>
        <v>0</v>
      </c>
      <c r="D15" s="419" t="n">
        <f aca="false">C15</f>
        <v>0</v>
      </c>
      <c r="E15" s="419" t="n">
        <f aca="false">D15</f>
        <v>0</v>
      </c>
      <c r="F15" s="419" t="n">
        <f aca="false">E15</f>
        <v>0</v>
      </c>
      <c r="G15" s="419" t="n">
        <f aca="false">F15</f>
        <v>0</v>
      </c>
      <c r="H15" s="419" t="n">
        <f aca="false">G15</f>
        <v>0</v>
      </c>
      <c r="I15" s="419" t="n">
        <f aca="false">H15</f>
        <v>0</v>
      </c>
      <c r="J15" s="419" t="n">
        <f aca="false">I15</f>
        <v>0</v>
      </c>
      <c r="K15" s="419" t="n">
        <f aca="false">J15</f>
        <v>0</v>
      </c>
      <c r="L15" s="419" t="n">
        <f aca="false">K15</f>
        <v>0</v>
      </c>
      <c r="M15" s="419" t="n">
        <f aca="false">L15</f>
        <v>0</v>
      </c>
      <c r="N15" s="399" t="b">
        <f aca="false">+SUM(B15:M15)='Compte d''exploitation'!B12</f>
        <v>1</v>
      </c>
    </row>
    <row r="16" customFormat="false" ht="15" hidden="false" customHeight="true" outlineLevel="0" collapsed="false">
      <c r="A16" s="418" t="str">
        <f aca="false">+'Compte d''exploitation'!A13</f>
        <v>Frais financiers  et charges assimilées</v>
      </c>
      <c r="B16" s="419" t="n">
        <f aca="false">+'Compte d''exploitation'!B13/12</f>
        <v>21272.7272727273</v>
      </c>
      <c r="C16" s="419" t="n">
        <f aca="false">B16</f>
        <v>21272.7272727273</v>
      </c>
      <c r="D16" s="419" t="n">
        <f aca="false">C16</f>
        <v>21272.7272727273</v>
      </c>
      <c r="E16" s="419" t="n">
        <f aca="false">D16</f>
        <v>21272.7272727273</v>
      </c>
      <c r="F16" s="419" t="n">
        <f aca="false">E16</f>
        <v>21272.7272727273</v>
      </c>
      <c r="G16" s="419" t="n">
        <f aca="false">F16</f>
        <v>21272.7272727273</v>
      </c>
      <c r="H16" s="419" t="n">
        <f aca="false">G16</f>
        <v>21272.7272727273</v>
      </c>
      <c r="I16" s="419" t="n">
        <f aca="false">H16</f>
        <v>21272.7272727273</v>
      </c>
      <c r="J16" s="419" t="n">
        <f aca="false">I16</f>
        <v>21272.7272727273</v>
      </c>
      <c r="K16" s="419" t="n">
        <f aca="false">J16</f>
        <v>21272.7272727273</v>
      </c>
      <c r="L16" s="419" t="n">
        <f aca="false">K16</f>
        <v>21272.7272727273</v>
      </c>
      <c r="M16" s="419" t="n">
        <f aca="false">L16</f>
        <v>21272.7272727273</v>
      </c>
      <c r="N16" s="399" t="b">
        <f aca="false">+SUM(B16:M16)='Compte d''exploitation'!B13</f>
        <v>1</v>
      </c>
    </row>
    <row r="17" customFormat="false" ht="15" hidden="false" customHeight="true" outlineLevel="0" collapsed="false">
      <c r="A17" s="418" t="s">
        <v>385</v>
      </c>
      <c r="B17" s="419" t="n">
        <f aca="false">+'Compte d''exploitation'!B14/12</f>
        <v>80743.0555555556</v>
      </c>
      <c r="C17" s="419" t="n">
        <f aca="false">B17</f>
        <v>80743.0555555556</v>
      </c>
      <c r="D17" s="419" t="n">
        <f aca="false">C17</f>
        <v>80743.0555555556</v>
      </c>
      <c r="E17" s="419" t="n">
        <f aca="false">D17</f>
        <v>80743.0555555556</v>
      </c>
      <c r="F17" s="419" t="n">
        <f aca="false">E17</f>
        <v>80743.0555555556</v>
      </c>
      <c r="G17" s="419" t="n">
        <f aca="false">F17</f>
        <v>80743.0555555556</v>
      </c>
      <c r="H17" s="419" t="n">
        <f aca="false">G17</f>
        <v>80743.0555555556</v>
      </c>
      <c r="I17" s="419" t="n">
        <f aca="false">H17</f>
        <v>80743.0555555556</v>
      </c>
      <c r="J17" s="419" t="n">
        <f aca="false">I17</f>
        <v>80743.0555555556</v>
      </c>
      <c r="K17" s="419" t="n">
        <f aca="false">J17</f>
        <v>80743.0555555556</v>
      </c>
      <c r="L17" s="419" t="n">
        <f aca="false">K17</f>
        <v>80743.0555555556</v>
      </c>
      <c r="M17" s="419" t="n">
        <f aca="false">L17</f>
        <v>80743.0555555556</v>
      </c>
      <c r="N17" s="399" t="b">
        <f aca="false">+SUM(B17:M17)='Compte d''exploitation'!B14</f>
        <v>1</v>
      </c>
    </row>
    <row r="18" s="389" customFormat="true" ht="15" hidden="false" customHeight="true" outlineLevel="0" collapsed="false">
      <c r="A18" s="420" t="s">
        <v>386</v>
      </c>
      <c r="B18" s="353" t="n">
        <f aca="false">SUM(B11:B17)</f>
        <v>490265.782828283</v>
      </c>
      <c r="C18" s="353" t="n">
        <f aca="false">SUM(C11:C17)</f>
        <v>490265.782828283</v>
      </c>
      <c r="D18" s="353" t="n">
        <f aca="false">SUM(D11:D17)</f>
        <v>490265.782828283</v>
      </c>
      <c r="E18" s="353" t="n">
        <f aca="false">SUM(E11:E17)</f>
        <v>490265.782828283</v>
      </c>
      <c r="F18" s="353" t="n">
        <f aca="false">SUM(F11:F17)</f>
        <v>490265.782828283</v>
      </c>
      <c r="G18" s="353" t="n">
        <f aca="false">SUM(G11:G17)</f>
        <v>490265.782828283</v>
      </c>
      <c r="H18" s="353" t="n">
        <f aca="false">SUM(H11:H17)</f>
        <v>490265.782828283</v>
      </c>
      <c r="I18" s="353" t="n">
        <f aca="false">SUM(I11:I17)</f>
        <v>490265.782828283</v>
      </c>
      <c r="J18" s="353" t="n">
        <f aca="false">SUM(J11:J17)</f>
        <v>490265.782828283</v>
      </c>
      <c r="K18" s="353" t="n">
        <f aca="false">SUM(K11:K17)</f>
        <v>490265.782828283</v>
      </c>
      <c r="L18" s="353" t="n">
        <f aca="false">SUM(L11:L17)</f>
        <v>490265.782828283</v>
      </c>
      <c r="M18" s="353" t="n">
        <f aca="false">SUM(M11:M17)</f>
        <v>490265.782828283</v>
      </c>
      <c r="N18" s="392"/>
    </row>
    <row r="19" customFormat="false" ht="15" hidden="false" customHeight="true" outlineLevel="0" collapsed="false">
      <c r="A19" s="425"/>
      <c r="B19" s="425"/>
      <c r="C19" s="425"/>
      <c r="D19" s="425"/>
      <c r="E19" s="425"/>
      <c r="F19" s="425"/>
      <c r="G19" s="425"/>
      <c r="H19" s="425"/>
      <c r="I19" s="425"/>
      <c r="J19" s="425"/>
      <c r="K19" s="425"/>
      <c r="L19" s="425"/>
      <c r="M19" s="417"/>
      <c r="N19" s="392"/>
    </row>
    <row r="20" s="406" customFormat="true" ht="14.25" hidden="false" customHeight="true" outlineLevel="0" collapsed="false">
      <c r="A20" s="426" t="s">
        <v>387</v>
      </c>
      <c r="B20" s="427" t="n">
        <f aca="false">B9-B18</f>
        <v>126400.883838384</v>
      </c>
      <c r="C20" s="427" t="n">
        <f aca="false">C9-C18</f>
        <v>126400.883838384</v>
      </c>
      <c r="D20" s="427" t="n">
        <f aca="false">D9-D18</f>
        <v>126400.883838384</v>
      </c>
      <c r="E20" s="427" t="n">
        <f aca="false">E9-E18</f>
        <v>126400.883838384</v>
      </c>
      <c r="F20" s="427" t="n">
        <f aca="false">F9-F18</f>
        <v>126400.883838384</v>
      </c>
      <c r="G20" s="427" t="n">
        <f aca="false">G9-G18</f>
        <v>126400.883838384</v>
      </c>
      <c r="H20" s="427" t="n">
        <f aca="false">H9-H18</f>
        <v>126400.883838384</v>
      </c>
      <c r="I20" s="427" t="n">
        <f aca="false">I9-I18</f>
        <v>126400.883838384</v>
      </c>
      <c r="J20" s="427" t="n">
        <f aca="false">J9-J18</f>
        <v>126400.883838384</v>
      </c>
      <c r="K20" s="427" t="n">
        <f aca="false">K9-K18</f>
        <v>126400.883838384</v>
      </c>
      <c r="L20" s="427" t="n">
        <f aca="false">L9-L18</f>
        <v>126400.883838384</v>
      </c>
      <c r="M20" s="427" t="n">
        <f aca="false">M9-M18</f>
        <v>126400.883838384</v>
      </c>
      <c r="N20" s="392"/>
    </row>
    <row r="21" customFormat="false" ht="15" hidden="false" customHeight="true" outlineLevel="0" collapsed="false">
      <c r="A21" s="418" t="str">
        <f aca="false">+'Compte d''exploitation'!A18</f>
        <v>BIC </v>
      </c>
      <c r="B21" s="428" t="n">
        <f aca="false">+'Compte d''exploitation'!B18/12</f>
        <v>0</v>
      </c>
      <c r="C21" s="419" t="n">
        <f aca="false">B21</f>
        <v>0</v>
      </c>
      <c r="D21" s="419" t="n">
        <f aca="false">C21</f>
        <v>0</v>
      </c>
      <c r="E21" s="419" t="n">
        <f aca="false">D21</f>
        <v>0</v>
      </c>
      <c r="F21" s="419" t="n">
        <f aca="false">E21</f>
        <v>0</v>
      </c>
      <c r="G21" s="419" t="n">
        <f aca="false">F21</f>
        <v>0</v>
      </c>
      <c r="H21" s="419" t="n">
        <f aca="false">G21</f>
        <v>0</v>
      </c>
      <c r="I21" s="419" t="n">
        <f aca="false">H21</f>
        <v>0</v>
      </c>
      <c r="J21" s="419" t="n">
        <f aca="false">I21</f>
        <v>0</v>
      </c>
      <c r="K21" s="419" t="n">
        <f aca="false">J21</f>
        <v>0</v>
      </c>
      <c r="L21" s="419" t="n">
        <f aca="false">K21</f>
        <v>0</v>
      </c>
      <c r="M21" s="419" t="n">
        <f aca="false">L21</f>
        <v>0</v>
      </c>
      <c r="N21" s="392"/>
    </row>
    <row r="22" customFormat="false" ht="15" hidden="false" customHeight="true" outlineLevel="0" collapsed="false">
      <c r="A22" s="425"/>
      <c r="B22" s="425"/>
      <c r="C22" s="425"/>
      <c r="D22" s="425"/>
      <c r="E22" s="425"/>
      <c r="F22" s="425"/>
      <c r="G22" s="425"/>
      <c r="H22" s="425"/>
      <c r="I22" s="425"/>
      <c r="J22" s="425"/>
      <c r="K22" s="425"/>
      <c r="L22" s="425"/>
      <c r="M22" s="417"/>
      <c r="N22" s="392"/>
    </row>
    <row r="23" customFormat="false" ht="15" hidden="false" customHeight="true" outlineLevel="0" collapsed="false">
      <c r="A23" s="426" t="s">
        <v>388</v>
      </c>
      <c r="B23" s="427" t="n">
        <f aca="false">B20-B21</f>
        <v>126400.883838384</v>
      </c>
      <c r="C23" s="427" t="n">
        <f aca="false">C20-C21</f>
        <v>126400.883838384</v>
      </c>
      <c r="D23" s="427" t="n">
        <f aca="false">D20-D21</f>
        <v>126400.883838384</v>
      </c>
      <c r="E23" s="427" t="n">
        <f aca="false">E20-E21</f>
        <v>126400.883838384</v>
      </c>
      <c r="F23" s="427" t="n">
        <f aca="false">F20-F21</f>
        <v>126400.883838384</v>
      </c>
      <c r="G23" s="427" t="n">
        <f aca="false">G20-G21</f>
        <v>126400.883838384</v>
      </c>
      <c r="H23" s="427" t="n">
        <f aca="false">H20-H21</f>
        <v>126400.883838384</v>
      </c>
      <c r="I23" s="427" t="n">
        <f aca="false">I20-I21</f>
        <v>126400.883838384</v>
      </c>
      <c r="J23" s="427" t="n">
        <f aca="false">J20-J21</f>
        <v>126400.883838384</v>
      </c>
      <c r="K23" s="427" t="n">
        <f aca="false">K20-K21</f>
        <v>126400.883838384</v>
      </c>
      <c r="L23" s="427" t="n">
        <f aca="false">L20-L21</f>
        <v>126400.883838384</v>
      </c>
      <c r="M23" s="427" t="n">
        <f aca="false">M20-M21</f>
        <v>126400.883838384</v>
      </c>
      <c r="N23" s="392"/>
    </row>
    <row r="24" customFormat="false" ht="15" hidden="false" customHeight="true" outlineLevel="0" collapsed="false">
      <c r="A24" s="429"/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9"/>
      <c r="N24" s="392"/>
    </row>
  </sheetData>
  <mergeCells count="4">
    <mergeCell ref="B3:M3"/>
    <mergeCell ref="B10:M10"/>
    <mergeCell ref="A19:L19"/>
    <mergeCell ref="A22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7.82"/>
    <col collapsed="false" customWidth="true" hidden="false" outlineLevel="0" max="2" min="2" style="66" width="26.82"/>
    <col collapsed="false" customWidth="true" hidden="false" outlineLevel="0" max="3" min="3" style="430" width="15.09"/>
    <col collapsed="false" customWidth="true" hidden="false" outlineLevel="0" max="4" min="4" style="430" width="10.54"/>
    <col collapsed="false" customWidth="true" hidden="false" outlineLevel="0" max="5" min="5" style="66" width="2.54"/>
    <col collapsed="false" customWidth="false" hidden="false" outlineLevel="0" max="16384" min="6" style="66" width="11.45"/>
  </cols>
  <sheetData>
    <row r="1" customFormat="false" ht="20.25" hidden="false" customHeight="true" outlineLevel="0" collapsed="false">
      <c r="A1" s="431" t="s">
        <v>389</v>
      </c>
      <c r="B1" s="431"/>
      <c r="C1" s="431"/>
      <c r="D1" s="431"/>
      <c r="E1" s="275"/>
    </row>
    <row r="2" customFormat="false" ht="15.75" hidden="false" customHeight="true" outlineLevel="0" collapsed="false">
      <c r="A2" s="275"/>
      <c r="B2" s="275"/>
      <c r="C2" s="275"/>
      <c r="D2" s="275"/>
      <c r="E2" s="275"/>
    </row>
    <row r="3" customFormat="false" ht="15" hidden="false" customHeight="true" outlineLevel="0" collapsed="false">
      <c r="A3" s="432" t="s">
        <v>390</v>
      </c>
      <c r="B3" s="433"/>
      <c r="C3" s="433"/>
      <c r="D3" s="434"/>
      <c r="E3" s="275"/>
    </row>
    <row r="4" customFormat="false" ht="15" hidden="false" customHeight="true" outlineLevel="0" collapsed="false">
      <c r="A4" s="435" t="s">
        <v>391</v>
      </c>
      <c r="B4" s="436"/>
      <c r="C4" s="437" t="n">
        <f aca="false">+D4/D4</f>
        <v>1</v>
      </c>
      <c r="D4" s="438" t="n">
        <f aca="false">+'Coût du projet'!C46</f>
        <v>5000000</v>
      </c>
      <c r="E4" s="275"/>
    </row>
    <row r="5" customFormat="false" ht="15" hidden="false" customHeight="true" outlineLevel="0" collapsed="false">
      <c r="A5" s="439" t="s">
        <v>392</v>
      </c>
      <c r="B5" s="440"/>
      <c r="C5" s="441" t="n">
        <f aca="false">+D5/D4</f>
        <v>0.1</v>
      </c>
      <c r="D5" s="438" t="n">
        <f aca="false">+'Plan Financement'!C7</f>
        <v>500000</v>
      </c>
      <c r="E5" s="275"/>
    </row>
    <row r="6" customFormat="false" ht="15" hidden="false" customHeight="true" outlineLevel="0" collapsed="false">
      <c r="A6" s="439" t="s">
        <v>393</v>
      </c>
      <c r="B6" s="436" t="s">
        <v>394</v>
      </c>
      <c r="C6" s="441" t="n">
        <f aca="false">+'Plan Financement'!B11</f>
        <v>0</v>
      </c>
      <c r="D6" s="438" t="n">
        <f aca="false">+'Plan Financement'!C11</f>
        <v>0</v>
      </c>
      <c r="E6" s="275"/>
    </row>
    <row r="7" customFormat="false" ht="15" hidden="false" customHeight="true" outlineLevel="0" collapsed="false">
      <c r="A7" s="439"/>
      <c r="B7" s="436" t="s">
        <v>395</v>
      </c>
      <c r="C7" s="441" t="n">
        <f aca="false">+'Plan Financement'!B12</f>
        <v>0</v>
      </c>
      <c r="D7" s="438" t="n">
        <f aca="false">+'Plan Financement'!C12</f>
        <v>0</v>
      </c>
      <c r="E7" s="275"/>
    </row>
    <row r="8" customFormat="false" ht="15" hidden="false" customHeight="true" outlineLevel="0" collapsed="false">
      <c r="A8" s="439"/>
      <c r="B8" s="436" t="s">
        <v>396</v>
      </c>
      <c r="C8" s="441" t="n">
        <f aca="false">+'Plan Financement'!B17</f>
        <v>0</v>
      </c>
      <c r="D8" s="438" t="n">
        <f aca="false">+'Plan Financement'!C17</f>
        <v>0</v>
      </c>
      <c r="E8" s="275"/>
    </row>
    <row r="9" customFormat="false" ht="15" hidden="false" customHeight="true" outlineLevel="0" collapsed="false">
      <c r="A9" s="439" t="s">
        <v>397</v>
      </c>
      <c r="B9" s="436" t="s">
        <v>398</v>
      </c>
      <c r="C9" s="441" t="n">
        <f aca="false">+'Plan Financement'!B13</f>
        <v>0.3</v>
      </c>
      <c r="D9" s="438" t="n">
        <f aca="false">+'Plan Financement'!C13</f>
        <v>1500000</v>
      </c>
      <c r="E9" s="275"/>
    </row>
    <row r="10" customFormat="false" ht="15" hidden="false" customHeight="true" outlineLevel="0" collapsed="false">
      <c r="A10" s="439" t="s">
        <v>399</v>
      </c>
      <c r="B10" s="436" t="s">
        <v>400</v>
      </c>
      <c r="C10" s="441" t="n">
        <f aca="false">+D10/D4</f>
        <v>0.6</v>
      </c>
      <c r="D10" s="438" t="n">
        <f aca="false">+IF('Plan Financement'!B19&lt;36,0,'Plan Financement'!C15)</f>
        <v>3000000</v>
      </c>
      <c r="E10" s="275"/>
    </row>
    <row r="11" customFormat="false" ht="15" hidden="false" customHeight="true" outlineLevel="0" collapsed="false">
      <c r="A11" s="439"/>
      <c r="B11" s="436" t="s">
        <v>401</v>
      </c>
      <c r="C11" s="441" t="n">
        <f aca="false">+D11/D4</f>
        <v>0</v>
      </c>
      <c r="D11" s="438" t="n">
        <f aca="false">+IF('Plan Financement'!B19&lt;36,'Plan Financement'!C15,0)</f>
        <v>0</v>
      </c>
      <c r="E11" s="275"/>
    </row>
    <row r="12" customFormat="false" ht="15" hidden="false" customHeight="true" outlineLevel="0" collapsed="false">
      <c r="A12" s="442" t="s">
        <v>402</v>
      </c>
      <c r="B12" s="443"/>
      <c r="C12" s="444"/>
      <c r="D12" s="445"/>
      <c r="E12" s="275"/>
    </row>
    <row r="13" customFormat="false" ht="15" hidden="false" customHeight="true" outlineLevel="0" collapsed="false">
      <c r="A13" s="435" t="s">
        <v>403</v>
      </c>
      <c r="B13" s="446" t="s">
        <v>404</v>
      </c>
      <c r="C13" s="447" t="s">
        <v>405</v>
      </c>
      <c r="D13" s="447"/>
      <c r="E13" s="275"/>
    </row>
    <row r="14" customFormat="false" ht="15" hidden="false" customHeight="true" outlineLevel="0" collapsed="false">
      <c r="A14" s="435" t="s">
        <v>406</v>
      </c>
      <c r="B14" s="448"/>
      <c r="C14" s="448"/>
      <c r="D14" s="448"/>
      <c r="E14" s="275"/>
    </row>
    <row r="15" customFormat="false" ht="15" hidden="false" customHeight="true" outlineLevel="0" collapsed="false">
      <c r="A15" s="439" t="s">
        <v>407</v>
      </c>
      <c r="B15" s="436" t="s">
        <v>408</v>
      </c>
      <c r="C15" s="447" t="n">
        <f aca="false">+'Plan Financement'!B19</f>
        <v>36</v>
      </c>
      <c r="D15" s="447"/>
      <c r="E15" s="275"/>
    </row>
    <row r="16" customFormat="false" ht="15" hidden="false" customHeight="true" outlineLevel="0" collapsed="false">
      <c r="A16" s="439" t="s">
        <v>409</v>
      </c>
      <c r="B16" s="436" t="s">
        <v>410</v>
      </c>
      <c r="C16" s="449" t="n">
        <f aca="false">+'Plan Financement'!B20</f>
        <v>0.08</v>
      </c>
      <c r="D16" s="449"/>
      <c r="E16" s="275"/>
    </row>
    <row r="17" customFormat="false" ht="15" hidden="false" customHeight="true" outlineLevel="0" collapsed="false">
      <c r="A17" s="439"/>
      <c r="B17" s="436" t="s">
        <v>411</v>
      </c>
      <c r="C17" s="447"/>
      <c r="D17" s="447"/>
      <c r="E17" s="275"/>
    </row>
    <row r="18" customFormat="false" ht="15" hidden="false" customHeight="true" outlineLevel="0" collapsed="false">
      <c r="A18" s="442" t="s">
        <v>412</v>
      </c>
      <c r="B18" s="443"/>
      <c r="C18" s="444"/>
      <c r="D18" s="445"/>
      <c r="E18" s="275"/>
    </row>
    <row r="19" customFormat="false" ht="15" hidden="false" customHeight="true" outlineLevel="0" collapsed="false">
      <c r="A19" s="450" t="s">
        <v>413</v>
      </c>
      <c r="B19" s="451" t="s">
        <v>414</v>
      </c>
      <c r="C19" s="452"/>
      <c r="D19" s="453" t="s">
        <v>357</v>
      </c>
      <c r="E19" s="275"/>
    </row>
    <row r="20" customFormat="false" ht="16.5" hidden="false" customHeight="true" outlineLevel="0" collapsed="false">
      <c r="A20" s="454" t="s">
        <v>415</v>
      </c>
      <c r="B20" s="436" t="s">
        <v>416</v>
      </c>
      <c r="C20" s="455" t="n">
        <f aca="false">+'Eléments du compte d''exploitati'!B12</f>
        <v>7400000</v>
      </c>
      <c r="D20" s="453" t="s">
        <v>357</v>
      </c>
      <c r="E20" s="275"/>
    </row>
    <row r="21" customFormat="false" ht="16.5" hidden="false" customHeight="true" outlineLevel="0" collapsed="false">
      <c r="A21" s="454"/>
      <c r="B21" s="436" t="s">
        <v>417</v>
      </c>
      <c r="C21" s="455" t="n">
        <f aca="false">+'Eléments du compte d''exploitati'!C12</f>
        <v>7548000</v>
      </c>
      <c r="D21" s="453" t="s">
        <v>357</v>
      </c>
      <c r="E21" s="275"/>
    </row>
    <row r="22" customFormat="false" ht="16.5" hidden="false" customHeight="true" outlineLevel="0" collapsed="false">
      <c r="A22" s="454"/>
      <c r="B22" s="436" t="s">
        <v>418</v>
      </c>
      <c r="C22" s="455" t="n">
        <f aca="false">+'Eléments du compte d''exploitati'!D12</f>
        <v>7698960</v>
      </c>
      <c r="D22" s="453" t="s">
        <v>357</v>
      </c>
      <c r="E22" s="275"/>
    </row>
    <row r="23" customFormat="false" ht="16.5" hidden="false" customHeight="true" outlineLevel="0" collapsed="false">
      <c r="A23" s="454" t="s">
        <v>419</v>
      </c>
      <c r="B23" s="436" t="s">
        <v>416</v>
      </c>
      <c r="C23" s="455" t="n">
        <f aca="false">+'Compte d''exploitation'!B20</f>
        <v>1516810.60606061</v>
      </c>
      <c r="D23" s="453" t="s">
        <v>357</v>
      </c>
      <c r="E23" s="275"/>
    </row>
    <row r="24" customFormat="false" ht="16.5" hidden="false" customHeight="true" outlineLevel="0" collapsed="false">
      <c r="A24" s="454"/>
      <c r="B24" s="436" t="s">
        <v>417</v>
      </c>
      <c r="C24" s="455" t="n">
        <f aca="false">+'Compte d''exploitation'!C20</f>
        <v>1525515.15151515</v>
      </c>
      <c r="D24" s="453" t="s">
        <v>357</v>
      </c>
      <c r="E24" s="275"/>
    </row>
    <row r="25" customFormat="false" ht="16.5" hidden="false" customHeight="true" outlineLevel="0" collapsed="false">
      <c r="A25" s="454"/>
      <c r="B25" s="436" t="s">
        <v>418</v>
      </c>
      <c r="C25" s="455" t="n">
        <f aca="false">+'Compte d''exploitation'!D20</f>
        <v>1615768.24242424</v>
      </c>
      <c r="D25" s="453" t="s">
        <v>357</v>
      </c>
      <c r="E25" s="275"/>
    </row>
    <row r="26" customFormat="false" ht="16.5" hidden="false" customHeight="true" outlineLevel="0" collapsed="false">
      <c r="A26" s="454" t="s">
        <v>420</v>
      </c>
      <c r="B26" s="436" t="s">
        <v>416</v>
      </c>
      <c r="C26" s="455" t="n">
        <f aca="false">+'Compte d''exploitation'!B22</f>
        <v>2485727.27272727</v>
      </c>
      <c r="D26" s="453" t="s">
        <v>357</v>
      </c>
      <c r="E26" s="275"/>
    </row>
    <row r="27" customFormat="false" ht="16.5" hidden="false" customHeight="true" outlineLevel="0" collapsed="false">
      <c r="A27" s="454"/>
      <c r="B27" s="436" t="s">
        <v>417</v>
      </c>
      <c r="C27" s="455" t="n">
        <f aca="false">+'Compte d''exploitation'!C22</f>
        <v>2479431.81818182</v>
      </c>
      <c r="D27" s="453" t="s">
        <v>357</v>
      </c>
      <c r="E27" s="275"/>
    </row>
    <row r="28" customFormat="false" ht="16.5" hidden="false" customHeight="true" outlineLevel="0" collapsed="false">
      <c r="A28" s="454"/>
      <c r="B28" s="436" t="s">
        <v>418</v>
      </c>
      <c r="C28" s="455" t="n">
        <f aca="false">+'Compte d''exploitation'!D22</f>
        <v>2569684.90909091</v>
      </c>
      <c r="D28" s="453" t="s">
        <v>357</v>
      </c>
      <c r="E28" s="275"/>
    </row>
    <row r="29" customFormat="false" ht="15" hidden="false" customHeight="true" outlineLevel="0" collapsed="false">
      <c r="A29" s="442" t="s">
        <v>421</v>
      </c>
      <c r="B29" s="443"/>
      <c r="C29" s="444"/>
      <c r="D29" s="445"/>
      <c r="E29" s="275"/>
    </row>
    <row r="30" customFormat="false" ht="15" hidden="false" customHeight="true" outlineLevel="0" collapsed="false">
      <c r="A30" s="439" t="s">
        <v>422</v>
      </c>
      <c r="B30" s="436"/>
      <c r="C30" s="456" t="n">
        <f aca="false">+'Ratios d''analyse'!B29*100</f>
        <v>67.8674309105512</v>
      </c>
      <c r="D30" s="453" t="s">
        <v>117</v>
      </c>
      <c r="E30" s="275"/>
    </row>
    <row r="31" customFormat="false" ht="15" hidden="false" customHeight="true" outlineLevel="0" collapsed="false">
      <c r="A31" s="439" t="s">
        <v>423</v>
      </c>
      <c r="B31" s="436"/>
      <c r="C31" s="456" t="n">
        <f aca="false">+'Ratios d''analyse'!C17*100</f>
        <v>66.6876305371115</v>
      </c>
      <c r="D31" s="453" t="s">
        <v>117</v>
      </c>
      <c r="E31" s="275"/>
    </row>
    <row r="32" customFormat="false" ht="15" hidden="false" customHeight="true" outlineLevel="0" collapsed="false">
      <c r="A32" s="439" t="s">
        <v>424</v>
      </c>
      <c r="B32" s="436"/>
      <c r="C32" s="456" t="n">
        <f aca="false">+'Ratios d''analyse'!B31*100</f>
        <v>41.5537443653428</v>
      </c>
      <c r="D32" s="453" t="s">
        <v>117</v>
      </c>
      <c r="E32" s="275"/>
    </row>
    <row r="33" customFormat="false" ht="15" hidden="false" customHeight="true" outlineLevel="0" collapsed="false">
      <c r="A33" s="439" t="s">
        <v>425</v>
      </c>
      <c r="B33" s="436" t="s">
        <v>426</v>
      </c>
      <c r="C33" s="438" t="str">
        <f aca="false">+'Ratios d''analyse'!C36</f>
        <v>2 an(s) et 0 mois</v>
      </c>
      <c r="D33" s="438"/>
      <c r="E33" s="275"/>
    </row>
    <row r="34" customFormat="false" ht="15" hidden="false" customHeight="true" outlineLevel="0" collapsed="false">
      <c r="A34" s="439"/>
      <c r="B34" s="436" t="s">
        <v>427</v>
      </c>
      <c r="C34" s="438" t="str">
        <f aca="false">+'Ratios d''analyse'!C37</f>
        <v>2 an(s) et 3 mois</v>
      </c>
      <c r="D34" s="438"/>
      <c r="E34" s="275"/>
    </row>
    <row r="35" customFormat="false" ht="15" hidden="false" customHeight="true" outlineLevel="0" collapsed="false">
      <c r="A35" s="442" t="s">
        <v>428</v>
      </c>
      <c r="B35" s="443"/>
      <c r="C35" s="444"/>
      <c r="D35" s="445"/>
      <c r="E35" s="275"/>
    </row>
    <row r="36" customFormat="false" ht="15" hidden="false" customHeight="true" outlineLevel="0" collapsed="false">
      <c r="A36" s="442" t="s">
        <v>429</v>
      </c>
      <c r="B36" s="443"/>
      <c r="C36" s="444"/>
      <c r="D36" s="445"/>
      <c r="E36" s="275"/>
    </row>
    <row r="37" customFormat="false" ht="15" hidden="false" customHeight="true" outlineLevel="0" collapsed="false">
      <c r="A37" s="439" t="s">
        <v>430</v>
      </c>
      <c r="B37" s="436" t="s">
        <v>431</v>
      </c>
      <c r="C37" s="457" t="s">
        <v>432</v>
      </c>
      <c r="D37" s="453" t="s">
        <v>433</v>
      </c>
      <c r="E37" s="275"/>
    </row>
    <row r="38" customFormat="false" ht="15" hidden="false" customHeight="true" outlineLevel="0" collapsed="false">
      <c r="A38" s="439"/>
      <c r="B38" s="436" t="s">
        <v>74</v>
      </c>
      <c r="C38" s="456" t="n">
        <f aca="false">+'Hypothèse de base'!B38</f>
        <v>2</v>
      </c>
      <c r="D38" s="438" t="n">
        <f aca="false">+'Hypothèse de base'!C38</f>
        <v>0</v>
      </c>
      <c r="E38" s="275"/>
    </row>
    <row r="39" customFormat="false" ht="15.75" hidden="false" customHeight="true" outlineLevel="0" collapsed="false">
      <c r="A39" s="439"/>
      <c r="B39" s="458" t="s">
        <v>75</v>
      </c>
      <c r="C39" s="459" t="n">
        <f aca="false">+'Hypothèse de base'!D38</f>
        <v>3</v>
      </c>
      <c r="D39" s="460" t="n">
        <f aca="false">+'Hypothèse de base'!E38</f>
        <v>0</v>
      </c>
      <c r="E39" s="275"/>
    </row>
    <row r="40" customFormat="false" ht="15" hidden="false" customHeight="true" outlineLevel="0" collapsed="false">
      <c r="A40" s="275"/>
      <c r="B40" s="275"/>
      <c r="C40" s="277"/>
      <c r="D40" s="277"/>
      <c r="E40" s="275"/>
    </row>
  </sheetData>
  <mergeCells count="17">
    <mergeCell ref="A1:D1"/>
    <mergeCell ref="B3:C3"/>
    <mergeCell ref="A6:A8"/>
    <mergeCell ref="A10:A11"/>
    <mergeCell ref="C13:D13"/>
    <mergeCell ref="B14:D14"/>
    <mergeCell ref="C15:D15"/>
    <mergeCell ref="A16:A17"/>
    <mergeCell ref="C16:D16"/>
    <mergeCell ref="C17:D17"/>
    <mergeCell ref="A20:A22"/>
    <mergeCell ref="A23:A25"/>
    <mergeCell ref="A26:A28"/>
    <mergeCell ref="A33:A34"/>
    <mergeCell ref="C33:D33"/>
    <mergeCell ref="C34:D34"/>
    <mergeCell ref="A37:A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"/>
    <col collapsed="false" customWidth="true" hidden="false" outlineLevel="0" max="3" min="3" style="1" width="20.09"/>
    <col collapsed="false" customWidth="true" hidden="false" outlineLevel="0" max="4" min="4" style="1" width="6.45"/>
    <col collapsed="false" customWidth="true" hidden="false" outlineLevel="0" max="5" min="5" style="1" width="26.45"/>
    <col collapsed="false" customWidth="true" hidden="false" outlineLevel="0" max="6" min="6" style="1" width="6.09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461" t="s">
        <v>434</v>
      </c>
      <c r="B2" s="461"/>
      <c r="C2" s="461" t="s">
        <v>435</v>
      </c>
      <c r="D2" s="461"/>
      <c r="E2" s="461"/>
      <c r="F2" s="461"/>
    </row>
    <row r="3" customFormat="false" ht="32.25" hidden="false" customHeight="true" outlineLevel="0" collapsed="false">
      <c r="A3" s="462" t="s">
        <v>436</v>
      </c>
      <c r="B3" s="463" t="s">
        <v>437</v>
      </c>
      <c r="C3" s="464" t="s">
        <v>243</v>
      </c>
      <c r="D3" s="463" t="s">
        <v>117</v>
      </c>
      <c r="E3" s="464" t="s">
        <v>438</v>
      </c>
      <c r="F3" s="465" t="s">
        <v>117</v>
      </c>
    </row>
    <row r="4" customFormat="false" ht="18.75" hidden="false" customHeight="true" outlineLevel="0" collapsed="false">
      <c r="A4" s="466" t="s">
        <v>118</v>
      </c>
      <c r="B4" s="467" t="n">
        <f aca="false">+SUM(B5:B10)</f>
        <v>900000</v>
      </c>
      <c r="C4" s="468" t="n">
        <f aca="false">+B4</f>
        <v>900000</v>
      </c>
      <c r="D4" s="469" t="n">
        <f aca="false">+C4/$B$25</f>
        <v>0.0638297872340426</v>
      </c>
      <c r="E4" s="470"/>
      <c r="F4" s="471"/>
    </row>
    <row r="5" customFormat="false" ht="15.75" hidden="false" customHeight="true" outlineLevel="0" collapsed="false">
      <c r="A5" s="472" t="s">
        <v>439</v>
      </c>
      <c r="B5" s="473" t="n">
        <v>150000</v>
      </c>
      <c r="C5" s="474"/>
      <c r="D5" s="474"/>
      <c r="E5" s="474"/>
      <c r="F5" s="475"/>
    </row>
    <row r="6" customFormat="false" ht="15.75" hidden="false" customHeight="true" outlineLevel="0" collapsed="false">
      <c r="A6" s="472" t="s">
        <v>440</v>
      </c>
      <c r="B6" s="473" t="n">
        <v>150000</v>
      </c>
      <c r="C6" s="474"/>
      <c r="D6" s="474"/>
      <c r="E6" s="474"/>
      <c r="F6" s="475"/>
    </row>
    <row r="7" customFormat="false" ht="15.75" hidden="false" customHeight="true" outlineLevel="0" collapsed="false">
      <c r="A7" s="472" t="s">
        <v>441</v>
      </c>
      <c r="B7" s="473" t="n">
        <v>150000</v>
      </c>
      <c r="C7" s="474"/>
      <c r="D7" s="474"/>
      <c r="E7" s="474"/>
      <c r="F7" s="475"/>
    </row>
    <row r="8" customFormat="false" ht="15.75" hidden="false" customHeight="true" outlineLevel="0" collapsed="false">
      <c r="A8" s="472" t="s">
        <v>122</v>
      </c>
      <c r="B8" s="473" t="n">
        <v>150000</v>
      </c>
      <c r="C8" s="474"/>
      <c r="D8" s="474"/>
      <c r="E8" s="474"/>
      <c r="F8" s="475"/>
    </row>
    <row r="9" customFormat="false" ht="15.75" hidden="false" customHeight="true" outlineLevel="0" collapsed="false">
      <c r="A9" s="472" t="s">
        <v>123</v>
      </c>
      <c r="B9" s="473" t="n">
        <v>150000</v>
      </c>
      <c r="C9" s="474"/>
      <c r="D9" s="474"/>
      <c r="E9" s="474"/>
      <c r="F9" s="475"/>
    </row>
    <row r="10" customFormat="false" ht="16.5" hidden="false" customHeight="true" outlineLevel="0" collapsed="false">
      <c r="A10" s="476" t="s">
        <v>124</v>
      </c>
      <c r="B10" s="473" t="n">
        <v>150000</v>
      </c>
      <c r="C10" s="474"/>
      <c r="D10" s="474"/>
      <c r="E10" s="474"/>
      <c r="F10" s="475"/>
    </row>
    <row r="11" customFormat="false" ht="18.75" hidden="false" customHeight="true" outlineLevel="0" collapsed="false">
      <c r="A11" s="477" t="s">
        <v>125</v>
      </c>
      <c r="B11" s="478" t="n">
        <f aca="false">+SUM(B12:B17)</f>
        <v>12000000</v>
      </c>
      <c r="C11" s="479"/>
      <c r="D11" s="479"/>
      <c r="E11" s="480" t="n">
        <f aca="false">+B11</f>
        <v>12000000</v>
      </c>
      <c r="F11" s="481" t="n">
        <f aca="false">+E11/$B$25</f>
        <v>0.851063829787234</v>
      </c>
    </row>
    <row r="12" customFormat="false" ht="15.75" hidden="false" customHeight="true" outlineLevel="0" collapsed="false">
      <c r="A12" s="472" t="s">
        <v>442</v>
      </c>
      <c r="B12" s="473" t="n">
        <v>5000000</v>
      </c>
      <c r="C12" s="474"/>
      <c r="D12" s="474"/>
      <c r="E12" s="474"/>
      <c r="F12" s="475"/>
    </row>
    <row r="13" customFormat="false" ht="15.75" hidden="false" customHeight="true" outlineLevel="0" collapsed="false">
      <c r="A13" s="472" t="s">
        <v>443</v>
      </c>
      <c r="B13" s="473" t="n">
        <v>5000000</v>
      </c>
      <c r="C13" s="474"/>
      <c r="D13" s="474"/>
      <c r="E13" s="474"/>
      <c r="F13" s="475"/>
    </row>
    <row r="14" customFormat="false" ht="15.75" hidden="false" customHeight="true" outlineLevel="0" collapsed="false">
      <c r="A14" s="472" t="s">
        <v>444</v>
      </c>
      <c r="B14" s="473" t="n">
        <v>500000</v>
      </c>
      <c r="C14" s="474"/>
      <c r="D14" s="474"/>
      <c r="E14" s="474"/>
      <c r="F14" s="475"/>
    </row>
    <row r="15" customFormat="false" ht="15.75" hidden="false" customHeight="true" outlineLevel="0" collapsed="false">
      <c r="A15" s="472" t="s">
        <v>445</v>
      </c>
      <c r="B15" s="473" t="n">
        <v>500000</v>
      </c>
      <c r="C15" s="474"/>
      <c r="D15" s="474"/>
      <c r="E15" s="474"/>
      <c r="F15" s="475"/>
    </row>
    <row r="16" customFormat="false" ht="15.75" hidden="false" customHeight="true" outlineLevel="0" collapsed="false">
      <c r="A16" s="472" t="s">
        <v>446</v>
      </c>
      <c r="B16" s="473" t="n">
        <v>500000</v>
      </c>
      <c r="C16" s="474"/>
      <c r="D16" s="474"/>
      <c r="E16" s="474"/>
      <c r="F16" s="475"/>
    </row>
    <row r="17" customFormat="false" ht="15.75" hidden="false" customHeight="true" outlineLevel="0" collapsed="false">
      <c r="A17" s="472" t="s">
        <v>447</v>
      </c>
      <c r="B17" s="473" t="n">
        <v>500000</v>
      </c>
      <c r="C17" s="474"/>
      <c r="D17" s="474"/>
      <c r="E17" s="474"/>
      <c r="F17" s="475"/>
    </row>
    <row r="18" customFormat="false" ht="16.5" hidden="false" customHeight="true" outlineLevel="0" collapsed="false">
      <c r="A18" s="476" t="s">
        <v>124</v>
      </c>
      <c r="B18" s="473" t="n">
        <v>500000</v>
      </c>
      <c r="C18" s="474"/>
      <c r="D18" s="474"/>
      <c r="E18" s="474"/>
      <c r="F18" s="475"/>
    </row>
    <row r="19" customFormat="false" ht="18.75" hidden="false" customHeight="true" outlineLevel="0" collapsed="false">
      <c r="A19" s="477" t="s">
        <v>128</v>
      </c>
      <c r="B19" s="478" t="n">
        <f aca="false">+SUM(B20:B24)</f>
        <v>1200000</v>
      </c>
      <c r="C19" s="480" t="n">
        <f aca="false">+B19</f>
        <v>1200000</v>
      </c>
      <c r="D19" s="469" t="n">
        <f aca="false">+C19/$B$25</f>
        <v>0.0851063829787234</v>
      </c>
      <c r="E19" s="479"/>
      <c r="F19" s="482"/>
    </row>
    <row r="20" customFormat="false" ht="15.75" hidden="false" customHeight="true" outlineLevel="0" collapsed="false">
      <c r="A20" s="472" t="s">
        <v>448</v>
      </c>
      <c r="B20" s="473" t="n">
        <v>250000</v>
      </c>
      <c r="C20" s="474"/>
      <c r="D20" s="474"/>
      <c r="E20" s="474"/>
      <c r="F20" s="483"/>
    </row>
    <row r="21" customFormat="false" ht="15.75" hidden="false" customHeight="true" outlineLevel="0" collapsed="false">
      <c r="A21" s="472" t="s">
        <v>449</v>
      </c>
      <c r="B21" s="473" t="n">
        <v>250000</v>
      </c>
      <c r="C21" s="474"/>
      <c r="D21" s="474"/>
      <c r="E21" s="474"/>
      <c r="F21" s="483"/>
    </row>
    <row r="22" customFormat="false" ht="15.75" hidden="false" customHeight="true" outlineLevel="0" collapsed="false">
      <c r="A22" s="472" t="s">
        <v>450</v>
      </c>
      <c r="B22" s="473" t="n">
        <v>250000</v>
      </c>
      <c r="C22" s="474"/>
      <c r="D22" s="474"/>
      <c r="E22" s="474"/>
      <c r="F22" s="483"/>
    </row>
    <row r="23" customFormat="false" ht="15.75" hidden="false" customHeight="true" outlineLevel="0" collapsed="false">
      <c r="A23" s="472" t="s">
        <v>451</v>
      </c>
      <c r="B23" s="473" t="n">
        <v>450000</v>
      </c>
      <c r="C23" s="474"/>
      <c r="D23" s="474"/>
      <c r="E23" s="474"/>
      <c r="F23" s="483"/>
    </row>
    <row r="24" customFormat="false" ht="15.75" hidden="false" customHeight="true" outlineLevel="0" collapsed="false">
      <c r="A24" s="472"/>
      <c r="B24" s="484"/>
      <c r="C24" s="485"/>
      <c r="D24" s="485"/>
      <c r="E24" s="485"/>
      <c r="F24" s="486"/>
    </row>
    <row r="25" customFormat="false" ht="24.75" hidden="false" customHeight="true" outlineLevel="0" collapsed="false">
      <c r="A25" s="487" t="s">
        <v>90</v>
      </c>
      <c r="B25" s="488" t="n">
        <f aca="false">+B19+B11+B4</f>
        <v>14100000</v>
      </c>
      <c r="C25" s="488" t="n">
        <f aca="false">+C19+C11+C4</f>
        <v>2100000</v>
      </c>
      <c r="D25" s="489" t="n">
        <f aca="false">+D19+D11+D4</f>
        <v>0.148936170212766</v>
      </c>
      <c r="E25" s="488" t="n">
        <f aca="false">+E19+E11+E4</f>
        <v>12000000</v>
      </c>
      <c r="F25" s="490" t="n">
        <f aca="false">+F19+F11+F4</f>
        <v>0.851063829787234</v>
      </c>
    </row>
  </sheetData>
  <mergeCells count="2">
    <mergeCell ref="A2:B2"/>
    <mergeCell ref="C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2019-02-25T09:35:45Z</dcterms:created>
  <dc:creator>ONG_REFOR</dc:creator>
  <dc:description/>
  <dc:language>en-US</dc:language>
  <cp:lastModifiedBy>Bouraima</cp:lastModifiedBy>
  <cp:lastPrinted>2024-12-19T16:12:31Z</cp:lastPrinted>
  <dcterms:modified xsi:type="dcterms:W3CDTF">2026-10-12T11:03:47Z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