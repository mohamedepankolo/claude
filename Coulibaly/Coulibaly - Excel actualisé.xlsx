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<sst xmlns="http://schemas.openxmlformats.org/spreadsheetml/2006/main" count="679" uniqueCount="473">
  <si>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</si>
  <si>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</si>
  <si>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</si>
  <si>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</si>
  <si>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</si>
  <si>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</si>
  <si>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</si>
  <si>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</si>
  <si>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</si>
  <si>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</si>
  <si>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</si>
  <si>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</si>
  <si>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</si>
  <si>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</si>
  <si>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</si>
  <si>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</si>
  <si>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</si>
  <si>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</si>
  <si>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</si>
  <si>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</si>
  <si>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</si>
  <si>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</si>
  <si>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</si>
  <si>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</si>
  <si>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</si>
  <si>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</si>
  <si>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</si>
  <si>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</si>
  <si>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</si>
  <si>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</si>
  <si>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</si>
  <si>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</si>
  <si>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</si>
  <si>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</si>
  <si>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</si>
  <si>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</si>
  <si>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</si>
  <si>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</si>
  <si>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</si>
  <si>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</si>
  <si>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</si>
  <si>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</si>
  <si>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</si>
  <si>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</si>
  <si>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</si>
  <si>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</si>
  <si>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</si>
  <si>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</si>
  <si>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</si>
  <si>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</si>
  <si>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</si>
  <si>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</si>
  <si>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</si>
  <si>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</si>
  <si>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</si>
  <si>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</si>
  <si>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</si>
  <si>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</si>
  <si>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</si>
  <si>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</si>
  <si>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</si>
  <si>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</si>
  <si>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</si>
  <si>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</si>
  <si>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</si>
  <si>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</si>
  <si>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</si>
  <si>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</si>
  <si>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</si>
  <si>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</si>
  <si>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</si>
  <si>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</si>
  <si>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</si>
  <si>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</si>
  <si>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</si>
  <si>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</si>
  <si>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</si>
  <si>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</si>
  <si>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</si>
  <si>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pastèque</t>
  </si>
  <si>
    <t xml:space="preserve">Boîte</t>
  </si>
  <si>
    <t xml:space="preserve">Engrais NPK 50 kg</t>
  </si>
  <si>
    <t xml:space="preserve">Sac</t>
  </si>
  <si>
    <t xml:space="preserve">Intrant Urée 50 kg</t>
  </si>
  <si>
    <t xml:space="preserve">Fongicide + insecticide</t>
  </si>
  <si>
    <t xml:space="preserve">Fumure organique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</si>
  <si>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</si>
  <si>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</si>
  <si>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</si>
  <si>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</si>
  <si>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</si>
  <si>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Lot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</si>
  <si>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</si>
  <si>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</si>
  <si>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</si>
  <si>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</si>
  <si>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</si>
  <si>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</si>
  <si>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</si>
  <si>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</si>
  <si>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</si>
  <si>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</si>
  <si>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</si>
  <si>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PROMOTEUR - Boubacar COULIBALY</t>
  </si>
  <si>
    <t xml:space="preserve">TECHNICIEN AGRONOME</t>
  </si>
  <si>
    <t xml:space="preserve">OUVRIERS SAISONNIERS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</si>
  <si>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</si>
  <si>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</si>
  <si>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</si>
  <si>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</si>
  <si>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</si>
  <si>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</si>
  <si>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</si>
  <si>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</si>
  <si>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Aménagement préparatoire</t>
  </si>
  <si>
    <t xml:space="preserve">Formation des billons</t>
  </si>
  <si>
    <t xml:space="preserve">Système goutte-à-goutte</t>
  </si>
  <si>
    <t xml:space="preserve">Clôture en grillage 0,75 ha</t>
  </si>
  <si>
    <t xml:space="preserve">Bassin 40 m³</t>
  </si>
  <si>
    <t xml:space="preserve">Puits à grand diamètre</t>
  </si>
  <si>
    <t xml:space="preserve">2.3	Mobiliers et matériels</t>
  </si>
  <si>
    <t xml:space="preserve">Balance</t>
  </si>
  <si>
    <t xml:space="preserve">2.4 Equipements de production</t>
  </si>
  <si>
    <t xml:space="preserve">Paillage en plastique</t>
  </si>
  <si>
    <t xml:space="preserve">Pulvérisateurs</t>
  </si>
  <si>
    <t xml:space="preserve">Brouettes + Houes</t>
  </si>
  <si>
    <t xml:space="preserve">P 17 (2000 m)</t>
  </si>
  <si>
    <t xml:space="preserve">Outils divers (dabas, pioches, pelles)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</si>
  <si>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</si>
  <si>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</si>
  <si>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</si>
  <si>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</si>
  <si>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</si>
  <si>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III. DONNEES PREVISIONNELES SUR LES RECETTES</t>
  </si>
  <si>
    <t xml:space="preserve">2.2. VENTES DE PRODUITS</t>
  </si>
  <si>
    <t xml:space="preserve">Vente pastèque gros calibre</t>
  </si>
  <si>
    <t xml:space="preserve">Vente pastèque moyen calibre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</si>
  <si>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</si>
  <si>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</si>
  <si>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</si>
  <si>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</si>
  <si>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</si>
  <si>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</si>
  <si>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</si>
  <si>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</si>
  <si>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</si>
  <si>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</si>
  <si>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</si>
  <si>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</si>
  <si>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</si>
  <si>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</si>
  <si>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</si>
  <si>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</si>
  <si>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</si>
  <si>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</si>
  <si>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</si>
  <si>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</si>
  <si>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</si>
  <si>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</si>
  <si>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</si>
  <si>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</si>
  <si>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</si>
  <si>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Verdissement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</si>
  <si>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</si>
  <si>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</si>
  <si>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</si>
  <si>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</si>
  <si>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</si>
  <si>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</si>
  <si>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</si>
  <si>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Création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</si>
  <si>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</si>
  <si>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</si>
  <si>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</si>
  <si>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</si>
  <si>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</si>
  <si>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</si>
  <si>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</si>
  <si>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</si>
  <si>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</si>
  <si>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</si>
  <si>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</si>
  <si>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</si>
  <si>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</si>
  <si>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</si>
  <si>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</si>
  <si>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</si>
  <si>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</si>
  <si>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</si>
  <si>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</si>
  <si>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</si>
  <si>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</si>
  <si>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</si>
  <si>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</si>
  <si>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</si>
  <si>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</si>
  <si>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</si>
  <si>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</si>
  <si>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</si>
  <si>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</si>
  <si>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</si>
  <si>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</si>
  <si>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</si>
  <si>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</si>
  <si>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</si>
  <si>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</si>
  <si>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</si>
  <si>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</si>
  <si>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</si>
  <si>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</si>
  <si>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</si>
  <si>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</si>
  <si>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</si>
  <si>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</si>
  <si>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</si>
  <si>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</si>
  <si>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</si>
  <si>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</si>
  <si>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</si>
  <si>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</si>
  <si>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</si>
  <si>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</si>
  <si>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</si>
  <si>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</si>
  <si>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</si>
  <si>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</si>
  <si>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</si>
  <si>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</si>
  <si>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</si>
  <si>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</si>
  <si>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</si>
  <si>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</si>
  <si>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</si>
  <si>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</si>
  <si>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</si>
  <si>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</si>
  <si>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</si>
  <si>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</si>
  <si>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</si>
  <si>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</si>
  <si>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</si>
  <si>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</si>
  <si>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</si>
  <si>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</si>
  <si>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</si>
  <si>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</si>
  <si>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</si>
  <si>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</si>
  <si>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</si>
  <si>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</si>
  <si>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</si>
  <si>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</si>
  <si>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</si>
  <si>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</si>
  <si>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</si>
  <si>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</si>
  <si>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</si>
  <si>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</si>
  <si>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</si>
  <si>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</si>
  <si>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</si>
  <si>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</si>
  <si>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</si>
  <si>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</si>
  <si>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</si>
  <si>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</si>
  <si>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</si>
  <si>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</si>
  <si>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</si>
  <si>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</si>
  <si>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</si>
  <si>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</si>
  <si>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</si>
  <si>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</si>
  <si>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</si>
  <si>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</si>
  <si>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</si>
  <si>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</si>
  <si>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</si>
  <si>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</si>
  <si>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</si>
  <si>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</si>
  <si>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</si>
  <si>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</si>
  <si>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</si>
  <si>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</si>
  <si>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</si>
  <si>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</si>
  <si>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</si>
  <si>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</si>
  <si>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</si>
  <si>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</si>
  <si>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</si>
  <si>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</si>
  <si>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</si>
  <si>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</si>
  <si>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</si>
  <si>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</si>
  <si>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</si>
  <si>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</si>
  <si>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</si>
  <si>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</si>
  <si>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</si>
  <si>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</si>
  <si>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</si>
  <si>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</si>
  <si>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</si>
  <si>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</si>
  <si>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</si>
  <si>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</si>
  <si>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</si>
  <si>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</si>
  <si>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</si>
  <si>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</si>
  <si>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</si>
  <si>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</si>
  <si>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</si>
  <si>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</si>
  <si>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</si>
  <si>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</si>
  <si>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</si>
  <si>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</si>
  <si>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</si>
  <si>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</si>
  <si>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</si>
  <si>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</si>
  <si>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</si>
  <si>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</si>
  <si>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</si>
  <si>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</si>
  <si>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</si>
  <si>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</si>
  <si>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</si>
  <si>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</si>
  <si>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</si>
  <si>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</si>
  <si>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</si>
  <si>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</si>
  <si>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</si>
  <si>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</si>
  <si>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</si>
  <si>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</si>
  <si>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</si>
  <si>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</si>
  <si>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</si>
  <si>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</si>
  <si>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</si>
  <si>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</si>
  <si>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</si>
  <si>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</si>
  <si>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</si>
  <si>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</si>
  <si>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</si>
  <si>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</si>
  <si>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</si>
  <si>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</si>
  <si>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</si>
  <si>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</si>
  <si>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</si>
  <si>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</si>
  <si>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</si>
  <si>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</si>
  <si>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</si>
  <si>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</si>
  <si>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</si>
  <si>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</si>
  <si>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</si>
  <si>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</si>
  <si>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</si>
  <si>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</si>
  <si>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</si>
  <si>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</si>
  <si>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</si>
  <si>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</si>
  <si>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</si>
  <si>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</si>
  <si>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</si>
  <si>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</si>
  <si>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</si>
  <si>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</si>
  <si>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</si>
  <si>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</si>
  <si>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</si>
  <si>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</si>
  <si>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</si>
  <si>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</si>
  <si>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</si>
  <si>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</si>
  <si>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</si>
  <si>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</si>
  <si>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</si>
  <si>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</si>
  <si>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</si>
  <si>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</si>
  <si>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</si>
  <si>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</si>
  <si>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</si>
  <si>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</si>
  <si>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</si>
  <si>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</si>
  <si>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</si>
  <si>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</si>
  <si>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</si>
  <si>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</si>
  <si>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</si>
  <si>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</si>
  <si>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</si>
  <si>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</si>
  <si>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</si>
  <si>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</si>
  <si>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</si>
  <si>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</si>
  <si>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</si>
  <si>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</si>
  <si>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</si>
  <si>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</si>
  <si>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</si>
  <si>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</si>
  <si>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</si>
  <si>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</si>
  <si>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</si>
  <si>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</si>
  <si>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</si>
  <si>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</si>
  <si>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</si>
  <si>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</si>
  <si>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</si>
  <si>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Kafo JIGINEW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</si>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</sst>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6</v>
      </c>
      <c r="H7" s="19" t="n">
        <v>70000</v>
      </c>
      <c r="I7" s="20" t="n">
        <f aca="false">G7*H7</f>
        <v>420000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18</v>
      </c>
      <c r="H8" s="19" t="n">
        <v>25000</v>
      </c>
      <c r="I8" s="20" t="n">
        <f aca="false">G8*H8</f>
        <v>450000</v>
      </c>
      <c r="J8" s="9"/>
    </row>
    <row r="9" customFormat="false" ht="12.75" hidden="false" customHeight="true" outlineLevel="0" collapsed="false">
      <c r="A9" s="16" t="s">
        <v>83</v>
      </c>
      <c r="B9" s="17" t="s">
        <v>82</v>
      </c>
      <c r="C9" s="17"/>
      <c r="D9" s="17"/>
      <c r="E9" s="17"/>
      <c r="F9" s="17" t="n">
        <v>0</v>
      </c>
      <c r="G9" s="18" t="n">
        <v>9</v>
      </c>
      <c r="H9" s="19" t="n">
        <v>20000</v>
      </c>
      <c r="I9" s="20" t="n">
        <f aca="false">G9*H9</f>
        <v>180000</v>
      </c>
      <c r="J9" s="9"/>
    </row>
    <row r="10" customFormat="false" ht="12.75" hidden="false" customHeight="true" outlineLevel="0" collapsed="false">
      <c r="A10" s="16" t="s">
        <v>84</v>
      </c>
      <c r="B10" s="17" t="s">
        <v>80</v>
      </c>
      <c r="C10" s="17"/>
      <c r="D10" s="17"/>
      <c r="E10" s="17" t="n">
        <v>0</v>
      </c>
      <c r="F10" s="17" t="n">
        <v>0</v>
      </c>
      <c r="G10" s="18" t="n">
        <v>6</v>
      </c>
      <c r="H10" s="19" t="n">
        <v>60000</v>
      </c>
      <c r="I10" s="20" t="n">
        <f aca="false">G10*H10</f>
        <v>360000</v>
      </c>
      <c r="J10" s="9"/>
    </row>
    <row r="11" customFormat="false" ht="12.75" hidden="false" customHeight="true" outlineLevel="0" collapsed="false">
      <c r="A11" s="16" t="s">
        <v>85</v>
      </c>
      <c r="B11" s="17" t="s">
        <v>82</v>
      </c>
      <c r="C11" s="17" t="n">
        <v>0</v>
      </c>
      <c r="D11" s="17"/>
      <c r="E11" s="17"/>
      <c r="F11" s="17" t="n">
        <v>0</v>
      </c>
      <c r="G11" s="18" t="n">
        <v>60</v>
      </c>
      <c r="H11" s="19" t="n">
        <v>1000</v>
      </c>
      <c r="I11" s="20" t="n">
        <f aca="false">G11*H11</f>
        <v>60000</v>
      </c>
      <c r="J11" s="9"/>
    </row>
    <row r="12" customFormat="false" ht="12.75" hidden="false" customHeight="true" outlineLevel="0" collapsed="false">
      <c r="A12" s="21" t="n">
        <v>0</v>
      </c>
      <c r="B12" s="22" t="n">
        <v>0</v>
      </c>
      <c r="C12" s="17"/>
      <c r="D12" s="17"/>
      <c r="E12" s="17" t="n">
        <v>0</v>
      </c>
      <c r="F12" s="17" t="n">
        <v>0</v>
      </c>
      <c r="G12" s="18" t="n">
        <f aca="false">F12*4</f>
        <v>0</v>
      </c>
      <c r="H12" s="19" t="n">
        <v>0</v>
      </c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86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1470000</v>
      </c>
      <c r="J13" s="9"/>
      <c r="K13" s="8" t="n">
        <f aca="false">I13/12</f>
        <v>122500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367500</v>
      </c>
    </row>
    <row r="15" customFormat="false" ht="12.75" hidden="false" customHeight="true" outlineLevel="0" collapsed="false">
      <c r="A15" s="12" t="s">
        <v>87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122500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88</v>
      </c>
      <c r="B18" s="17" t="s">
        <v>89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300000</v>
      </c>
      <c r="I18" s="20" t="n">
        <f aca="false">G18*H18</f>
        <v>300000</v>
      </c>
      <c r="J18" s="9"/>
    </row>
    <row r="19" customFormat="false" ht="12.75" hidden="false" customHeight="true" outlineLevel="0" collapsed="false">
      <c r="A19" s="16" t="s">
        <v>90</v>
      </c>
      <c r="B19" s="17" t="s">
        <v>91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100000</v>
      </c>
      <c r="I19" s="20" t="n">
        <f aca="false">G19*H19</f>
        <v>100000</v>
      </c>
      <c r="J19" s="9"/>
      <c r="L19" s="26"/>
    </row>
    <row r="20" customFormat="false" ht="12.75" hidden="false" customHeight="true" outlineLevel="0" collapsed="false">
      <c r="A20" s="16" t="s">
        <v>92</v>
      </c>
      <c r="B20" s="17" t="s">
        <v>89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86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450000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93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94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95</v>
      </c>
      <c r="B30" s="31" t="s">
        <v>96</v>
      </c>
      <c r="C30" s="31"/>
      <c r="D30" s="31" t="s">
        <v>97</v>
      </c>
      <c r="E30" s="31"/>
      <c r="F30" s="31" t="s">
        <v>98</v>
      </c>
      <c r="G30" s="31" t="s">
        <v>99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100</v>
      </c>
      <c r="C31" s="31" t="s">
        <v>101</v>
      </c>
      <c r="D31" s="31" t="s">
        <v>100</v>
      </c>
      <c r="E31" s="31" t="s">
        <v>101</v>
      </c>
      <c r="F31" s="31"/>
      <c r="G31" s="31"/>
      <c r="H31" s="31" t="s">
        <v>102</v>
      </c>
      <c r="I31" s="11"/>
      <c r="J31" s="9"/>
    </row>
    <row r="32" customFormat="false" ht="12.75" hidden="false" customHeight="true" outlineLevel="0" collapsed="false">
      <c r="A32" s="32" t="s">
        <v>103</v>
      </c>
      <c r="B32" s="33" t="n">
        <v>1</v>
      </c>
      <c r="C32" s="33"/>
      <c r="D32" s="33" t="n">
        <v>0</v>
      </c>
      <c r="E32" s="33"/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104</v>
      </c>
      <c r="B33" s="33" t="n">
        <v>1</v>
      </c>
      <c r="C33" s="33"/>
      <c r="D33" s="33" t="n">
        <v>0</v>
      </c>
      <c r="E33" s="33"/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105</v>
      </c>
      <c r="B34" s="33" t="n">
        <v>0</v>
      </c>
      <c r="C34" s="33" t="n">
        <v>0</v>
      </c>
      <c r="D34" s="33" t="n">
        <v>3</v>
      </c>
      <c r="E34" s="33"/>
      <c r="F34" s="22" t="n">
        <v>50000</v>
      </c>
      <c r="G34" s="22" t="n">
        <v>6</v>
      </c>
      <c r="H34" s="33" t="n">
        <f aca="false">+G34*F34*SUM(B34:E34)</f>
        <v>900000</v>
      </c>
      <c r="I34" s="11"/>
      <c r="J34" s="9"/>
      <c r="M34" s="8" t="n">
        <f aca="false">H38/12</f>
        <v>175000</v>
      </c>
    </row>
    <row r="35" customFormat="false" ht="12.75" hidden="false" customHeight="true" outlineLevel="0" collapsed="false">
      <c r="A35" s="34" t="n">
        <v>0</v>
      </c>
      <c r="B35" s="33" t="n">
        <v>0</v>
      </c>
      <c r="C35" s="33" t="n">
        <v>0</v>
      </c>
      <c r="D35" s="33" t="n">
        <v>0</v>
      </c>
      <c r="E35" s="33"/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 t="n">
        <v>0</v>
      </c>
      <c r="B36" s="33" t="n">
        <v>0</v>
      </c>
      <c r="C36" s="33" t="n">
        <v>0</v>
      </c>
      <c r="D36" s="33" t="n">
        <v>0</v>
      </c>
      <c r="E36" s="33"/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106</v>
      </c>
      <c r="B38" s="36" t="n">
        <f aca="false">SUM(B32:B37)</f>
        <v>2</v>
      </c>
      <c r="C38" s="36" t="n">
        <f aca="false">SUM(C32:C37)</f>
        <v>0</v>
      </c>
      <c r="D38" s="36" t="n">
        <f aca="false">SUM(D32:D37)</f>
        <v>3</v>
      </c>
      <c r="E38" s="36" t="n">
        <f aca="false">SUM(E32:E37)</f>
        <v>0</v>
      </c>
      <c r="F38" s="36"/>
      <c r="G38" s="36"/>
      <c r="H38" s="37" t="n">
        <f aca="false">SUM(H32:H37)</f>
        <v>2100000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107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108</v>
      </c>
      <c r="B42" s="39" t="s">
        <v>109</v>
      </c>
      <c r="C42" s="39" t="s">
        <v>110</v>
      </c>
      <c r="D42" s="40" t="s">
        <v>111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112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113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108</v>
      </c>
      <c r="B53" s="39" t="s">
        <v>109</v>
      </c>
      <c r="C53" s="39" t="s">
        <v>110</v>
      </c>
      <c r="D53" s="40" t="s">
        <v>111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114</v>
      </c>
      <c r="B54" s="48" t="n">
        <v>1</v>
      </c>
      <c r="C54" s="49" t="n">
        <v>45000</v>
      </c>
      <c r="D54" s="49" t="n">
        <f aca="false">+B54*C54</f>
        <v>45000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115</v>
      </c>
      <c r="B55" s="48" t="n">
        <v>1</v>
      </c>
      <c r="C55" s="49" t="n">
        <v>60000</v>
      </c>
      <c r="D55" s="49" t="n">
        <f aca="false">+B55*C55</f>
        <v>60000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116</v>
      </c>
      <c r="B56" s="50" t="n">
        <v>1</v>
      </c>
      <c r="C56" s="50" t="n">
        <v>750000</v>
      </c>
      <c r="D56" s="50" t="n">
        <f aca="false">+B56*C56</f>
        <v>750000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117</v>
      </c>
      <c r="B57" s="50" t="n">
        <v>1</v>
      </c>
      <c r="C57" s="50" t="n">
        <v>1000000</v>
      </c>
      <c r="D57" s="50" t="n">
        <f aca="false">+B57*C57</f>
        <v>1000000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118</v>
      </c>
      <c r="B58" s="50" t="n">
        <v>1</v>
      </c>
      <c r="C58" s="22" t="n">
        <v>250000</v>
      </c>
      <c r="D58" s="42" t="n">
        <f aca="false">+B58*C58</f>
        <v>250000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 t="s">
        <v>119</v>
      </c>
      <c r="B59" s="22" t="n">
        <v>1</v>
      </c>
      <c r="C59" s="22" t="n">
        <v>980000</v>
      </c>
      <c r="D59" s="42" t="n">
        <f aca="false">+B59*C59</f>
        <v>980000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3085000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120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108</v>
      </c>
      <c r="B67" s="39" t="s">
        <v>109</v>
      </c>
      <c r="C67" s="39" t="s">
        <v>110</v>
      </c>
      <c r="D67" s="40" t="s">
        <v>111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 t="s">
        <v>121</v>
      </c>
      <c r="B68" s="22" t="n">
        <v>1</v>
      </c>
      <c r="C68" s="22" t="n">
        <v>20000</v>
      </c>
      <c r="D68" s="42" t="n">
        <f aca="false">+B68*C68</f>
        <v>20000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/>
      <c r="C69" s="22"/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/>
      <c r="C70" s="22"/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/>
      <c r="C71" s="22"/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/>
      <c r="C72" s="22"/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112</v>
      </c>
      <c r="B73" s="45"/>
      <c r="C73" s="45"/>
      <c r="D73" s="46" t="n">
        <f aca="false">+SUM(D68:D72)</f>
        <v>20000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122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108</v>
      </c>
      <c r="B77" s="39" t="s">
        <v>109</v>
      </c>
      <c r="C77" s="39" t="s">
        <v>110</v>
      </c>
      <c r="D77" s="40" t="s">
        <v>111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123</v>
      </c>
      <c r="B78" s="22" t="n">
        <v>1</v>
      </c>
      <c r="C78" s="22" t="n">
        <v>400000</v>
      </c>
      <c r="D78" s="42" t="n">
        <f aca="false">+B78*C78</f>
        <v>400000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124</v>
      </c>
      <c r="B79" s="22" t="n">
        <v>3</v>
      </c>
      <c r="C79" s="22" t="n">
        <v>25000</v>
      </c>
      <c r="D79" s="42" t="n">
        <f aca="false">+B79*C79</f>
        <v>75000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125</v>
      </c>
      <c r="B80" s="22" t="n">
        <v>3</v>
      </c>
      <c r="C80" s="22" t="n">
        <v>20000</v>
      </c>
      <c r="D80" s="42" t="n">
        <f aca="false">+B80*C80</f>
        <v>60000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126</v>
      </c>
      <c r="B81" s="22" t="n">
        <v>2</v>
      </c>
      <c r="C81" s="22" t="n">
        <v>150000</v>
      </c>
      <c r="D81" s="42" t="n">
        <f aca="false">+B81*C81</f>
        <v>300000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127</v>
      </c>
      <c r="B82" s="22" t="n">
        <v>1</v>
      </c>
      <c r="C82" s="22" t="n">
        <v>45000</v>
      </c>
      <c r="D82" s="42" t="n">
        <f aca="false">+B82*C82</f>
        <v>45000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 t="n">
        <v>0</v>
      </c>
      <c r="B83" s="22" t="n">
        <v>0</v>
      </c>
      <c r="C83" s="22" t="n">
        <v>0</v>
      </c>
      <c r="D83" s="42" t="n">
        <f aca="false">+B83*C83</f>
        <v>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 t="n">
        <v>0</v>
      </c>
      <c r="B84" s="22" t="n">
        <v>0</v>
      </c>
      <c r="C84" s="22" t="n">
        <v>0</v>
      </c>
      <c r="D84" s="42" t="n">
        <f aca="false">+B84*C84</f>
        <v>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112</v>
      </c>
      <c r="B85" s="45"/>
      <c r="C85" s="45"/>
      <c r="D85" s="46" t="n">
        <f aca="false">+SUM(D78:D84)</f>
        <v>880000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128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108</v>
      </c>
      <c r="B90" s="54" t="s">
        <v>71</v>
      </c>
      <c r="C90" s="54" t="s">
        <v>129</v>
      </c>
      <c r="D90" s="54" t="s">
        <v>130</v>
      </c>
      <c r="E90" s="55" t="s">
        <v>110</v>
      </c>
      <c r="F90" s="56" t="s">
        <v>131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132</v>
      </c>
      <c r="B91" s="22" t="s">
        <v>71</v>
      </c>
      <c r="C91" s="22" t="n">
        <v>1</v>
      </c>
      <c r="D91" s="58" t="n">
        <v>12</v>
      </c>
      <c r="E91" s="22" t="n">
        <v>37500</v>
      </c>
      <c r="F91" s="22" t="n">
        <f aca="false">+E91*D91</f>
        <v>450000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n">
        <v>0</v>
      </c>
      <c r="B92" s="22" t="n">
        <v>0</v>
      </c>
      <c r="C92" s="22" t="n">
        <v>0</v>
      </c>
      <c r="D92" s="58" t="n">
        <v>0</v>
      </c>
      <c r="E92" s="22" t="n">
        <v>0</v>
      </c>
      <c r="F92" s="22" t="n">
        <v>0</v>
      </c>
      <c r="G92" s="11"/>
      <c r="H92" s="11"/>
      <c r="I92" s="11"/>
      <c r="J92" s="9"/>
    </row>
    <row r="93" customFormat="false" ht="12.75" hidden="false" customHeight="true" outlineLevel="0" collapsed="false">
      <c r="A93" s="57" t="n">
        <v>0</v>
      </c>
      <c r="B93" s="22" t="n">
        <v>0</v>
      </c>
      <c r="C93" s="22" t="n">
        <v>0</v>
      </c>
      <c r="D93" s="58" t="n">
        <v>0</v>
      </c>
      <c r="E93" s="22" t="n">
        <v>0</v>
      </c>
      <c r="F93" s="22" t="n">
        <v>0</v>
      </c>
      <c r="G93" s="11"/>
      <c r="H93" s="11"/>
      <c r="I93" s="11"/>
      <c r="J93" s="9"/>
    </row>
    <row r="94" customFormat="false" ht="12.75" hidden="false" customHeight="true" outlineLevel="0" collapsed="false">
      <c r="A94" s="57" t="n">
        <v>0</v>
      </c>
      <c r="B94" s="22" t="n">
        <v>0</v>
      </c>
      <c r="C94" s="22" t="n">
        <v>0</v>
      </c>
      <c r="D94" s="58" t="n">
        <v>6</v>
      </c>
      <c r="E94" s="22" t="n">
        <v>0</v>
      </c>
      <c r="F94" s="22" t="n"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/>
      <c r="D97" s="58"/>
      <c r="E97" s="22"/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112</v>
      </c>
      <c r="B98" s="59"/>
      <c r="C98" s="59"/>
      <c r="D98" s="59"/>
      <c r="E98" s="59"/>
      <c r="F98" s="60" t="n">
        <f aca="false">+SUM(F91:F97)</f>
        <v>450000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133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134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135</v>
      </c>
      <c r="B106" s="17" t="s">
        <v>71</v>
      </c>
      <c r="C106" s="17" t="n">
        <v>0</v>
      </c>
      <c r="D106" s="17" t="n">
        <v>0</v>
      </c>
      <c r="E106" s="17" t="n">
        <f aca="false">C106*25</f>
        <v>0</v>
      </c>
      <c r="F106" s="17" t="n">
        <v>700</v>
      </c>
      <c r="G106" s="61" t="n">
        <v>2800</v>
      </c>
      <c r="H106" s="62" t="n">
        <v>2000</v>
      </c>
      <c r="I106" s="63" t="n">
        <f aca="false">+H106*G106</f>
        <v>5600000</v>
      </c>
      <c r="J106" s="9"/>
    </row>
    <row r="107" customFormat="false" ht="12.75" hidden="false" customHeight="true" outlineLevel="0" collapsed="false">
      <c r="A107" s="16" t="s">
        <v>136</v>
      </c>
      <c r="B107" s="17" t="s">
        <v>71</v>
      </c>
      <c r="C107" s="17" t="n">
        <v>0</v>
      </c>
      <c r="D107" s="17" t="n">
        <v>0</v>
      </c>
      <c r="E107" s="17"/>
      <c r="F107" s="17" t="n">
        <v>300</v>
      </c>
      <c r="G107" s="61" t="n">
        <v>1200</v>
      </c>
      <c r="H107" s="19" t="n">
        <v>1500</v>
      </c>
      <c r="I107" s="63" t="n">
        <f aca="false">+H107*G107</f>
        <v>1800000</v>
      </c>
      <c r="J107" s="9"/>
    </row>
    <row r="108" customFormat="false" ht="12.75" hidden="false" customHeight="true" outlineLevel="0" collapsed="false">
      <c r="A108" s="16" t="n">
        <v>0</v>
      </c>
      <c r="B108" s="17" t="n">
        <v>0</v>
      </c>
      <c r="C108" s="17" t="n">
        <v>0</v>
      </c>
      <c r="D108" s="17" t="n">
        <v>0</v>
      </c>
      <c r="E108" s="17" t="n">
        <v>0</v>
      </c>
      <c r="F108" s="17" t="n">
        <v>0</v>
      </c>
      <c r="G108" s="61" t="n">
        <v>0</v>
      </c>
      <c r="H108" s="19" t="n">
        <v>0</v>
      </c>
      <c r="I108" s="63" t="n">
        <f aca="false">+H108*G108</f>
        <v>0</v>
      </c>
      <c r="J108" s="9"/>
    </row>
    <row r="109" customFormat="false" ht="12.75" hidden="false" customHeight="true" outlineLevel="0" collapsed="false">
      <c r="A109" s="16" t="n">
        <v>0</v>
      </c>
      <c r="B109" s="17" t="n">
        <v>0</v>
      </c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f aca="false">F109*2</f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 t="n">
        <v>0</v>
      </c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 t="n">
        <v>0</v>
      </c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86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7400000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137</v>
      </c>
      <c r="B2" s="70" t="s">
        <v>138</v>
      </c>
      <c r="C2" s="70"/>
      <c r="D2" s="71" t="s">
        <v>139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140</v>
      </c>
      <c r="B4" s="76"/>
      <c r="C4" s="76" t="n">
        <f aca="false">SUM(B5:B10)</f>
        <v>15000</v>
      </c>
      <c r="D4" s="77" t="n">
        <f aca="false">C4/$C$46</f>
        <v>0.003</v>
      </c>
      <c r="E4" s="67"/>
    </row>
    <row r="5" customFormat="false" ht="15" hidden="false" customHeight="true" outlineLevel="0" collapsed="false">
      <c r="A5" s="78" t="s">
        <v>141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142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143</v>
      </c>
      <c r="B7" s="79" t="n">
        <v>15000</v>
      </c>
      <c r="C7" s="79"/>
      <c r="D7" s="80"/>
      <c r="E7" s="67"/>
    </row>
    <row r="8" customFormat="false" ht="15" hidden="false" customHeight="true" outlineLevel="0" collapsed="false">
      <c r="A8" s="78" t="s">
        <v>144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145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146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147</v>
      </c>
      <c r="B11" s="76"/>
      <c r="C11" s="76" t="n">
        <f aca="false">B12+B19+B28+B34</f>
        <v>3985000</v>
      </c>
      <c r="D11" s="77" t="n">
        <f aca="false">C11/$C$46</f>
        <v>0.797</v>
      </c>
      <c r="E11" s="67"/>
    </row>
    <row r="12" customFormat="false" ht="15.75" hidden="false" customHeight="true" outlineLevel="0" collapsed="false">
      <c r="A12" s="81" t="s">
        <v>148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149</v>
      </c>
      <c r="B19" s="82" t="n">
        <f aca="false">SUM(B20:B27)</f>
        <v>3085000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Aménagement préparatoire</v>
      </c>
      <c r="B20" s="79" t="n">
        <f aca="false">+'Hypothèse de base'!D54</f>
        <v>45000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Formation des billons</v>
      </c>
      <c r="B21" s="79" t="n">
        <f aca="false">+'Hypothèse de base'!D55</f>
        <v>60000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Système goutte-à-goutte</v>
      </c>
      <c r="B22" s="79" t="n">
        <f aca="false">+'Hypothèse de base'!D56</f>
        <v>750000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Clôture en grillage 0,75 ha</v>
      </c>
      <c r="B23" s="79" t="n">
        <f aca="false">+'Hypothèse de base'!D57</f>
        <v>1000000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Bassin 40 m³</v>
      </c>
      <c r="B24" s="79" t="n">
        <f aca="false">'Hypothèse de base'!D58</f>
        <v>250000</v>
      </c>
      <c r="C24" s="79"/>
      <c r="D24" s="80"/>
      <c r="E24" s="67"/>
    </row>
    <row r="25" customFormat="false" ht="15" hidden="false" customHeight="true" outlineLevel="0" collapsed="false">
      <c r="A25" s="84" t="str">
        <f aca="false">'Hypothèse de base'!A59</f>
        <v>Puits à grand diamètre</v>
      </c>
      <c r="B25" s="79" t="n">
        <f aca="false">'Hypothèse de base'!D59</f>
        <v>980000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120</v>
      </c>
      <c r="B28" s="82" t="n">
        <f aca="false">SUM(B29:B33)</f>
        <v>20000</v>
      </c>
      <c r="C28" s="82"/>
      <c r="D28" s="83"/>
      <c r="E28" s="67"/>
    </row>
    <row r="29" customFormat="false" ht="15" hidden="false" customHeight="true" outlineLevel="0" collapsed="false">
      <c r="A29" s="84" t="str">
        <f aca="false">+'Hypothèse de base'!A68</f>
        <v>Balance</v>
      </c>
      <c r="B29" s="79" t="n">
        <f aca="false">+'Hypothèse de base'!D68</f>
        <v>20000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122</v>
      </c>
      <c r="B34" s="82" t="n">
        <f aca="false">SUM(B35:B39)</f>
        <v>880000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Paillage en plastique</v>
      </c>
      <c r="B35" s="79" t="n">
        <f aca="false">+'Hypothèse de base'!D78</f>
        <v>400000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Pulvérisateurs</v>
      </c>
      <c r="B36" s="79" t="n">
        <f aca="false">+'Hypothèse de base'!D79</f>
        <v>75000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Brouettes + Houes</v>
      </c>
      <c r="B37" s="79" t="n">
        <f aca="false">+'Hypothèse de base'!D80</f>
        <v>60000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P 17 (2000 m)</v>
      </c>
      <c r="B38" s="79" t="n">
        <f aca="false">+'Hypothèse de base'!D81</f>
        <v>300000</v>
      </c>
      <c r="C38" s="79"/>
      <c r="D38" s="80"/>
      <c r="E38" s="67"/>
    </row>
    <row r="39" customFormat="false" ht="15" hidden="false" customHeight="true" outlineLevel="0" collapsed="false">
      <c r="A39" s="84" t="str">
        <f aca="false">'Hypothèse de base'!A82</f>
        <v>Outils divers (dabas, pioches, pelles)</v>
      </c>
      <c r="B39" s="79" t="n">
        <f aca="false">'Hypothèse de base'!D82</f>
        <v>45000</v>
      </c>
      <c r="C39" s="79"/>
      <c r="D39" s="80"/>
      <c r="E39" s="67"/>
    </row>
    <row r="40" customFormat="false" ht="18" hidden="false" customHeight="true" outlineLevel="0" collapsed="false">
      <c r="A40" s="75" t="s">
        <v>150</v>
      </c>
      <c r="B40" s="76"/>
      <c r="C40" s="76" t="n">
        <f aca="false">SUM(B41:B45)</f>
        <v>1000000</v>
      </c>
      <c r="D40" s="77" t="n">
        <f aca="false">C40/$C$46</f>
        <v>0.2</v>
      </c>
      <c r="E40" s="67"/>
    </row>
    <row r="41" customFormat="false" ht="15" hidden="false" customHeight="true" outlineLevel="0" collapsed="false">
      <c r="A41" s="78" t="s">
        <v>151</v>
      </c>
      <c r="B41" s="87" t="n">
        <f aca="false">('Hypothèse de base'!I13+'Hypothèse de base'!I23)/4</f>
        <v>480000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152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153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154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155</v>
      </c>
      <c r="B45" s="87" t="n">
        <v>520000</v>
      </c>
      <c r="C45" s="87"/>
      <c r="D45" s="74"/>
      <c r="E45" s="67"/>
    </row>
    <row r="46" customFormat="false" ht="21.75" hidden="false" customHeight="true" outlineLevel="0" collapsed="false">
      <c r="A46" s="92" t="s">
        <v>156</v>
      </c>
      <c r="B46" s="92"/>
      <c r="C46" s="86" t="n">
        <f aca="false">C4+C11+C40</f>
        <v>5000000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157</v>
      </c>
      <c r="B2" s="102"/>
      <c r="C2" s="103"/>
      <c r="D2" s="99"/>
      <c r="E2" s="104" t="s">
        <v>100</v>
      </c>
      <c r="F2" s="105" t="s">
        <v>158</v>
      </c>
      <c r="G2" s="106" t="s">
        <v>159</v>
      </c>
      <c r="H2" s="107" t="n">
        <v>0.1</v>
      </c>
      <c r="I2" s="101"/>
      <c r="W2" s="108" t="s">
        <v>160</v>
      </c>
      <c r="X2" s="108"/>
      <c r="Y2" s="108"/>
      <c r="Z2" s="109"/>
      <c r="AC2" s="97" t="s">
        <v>161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162</v>
      </c>
      <c r="F3" s="113" t="s">
        <v>163</v>
      </c>
      <c r="G3" s="114" t="s">
        <v>164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158</v>
      </c>
      <c r="V3" s="98" t="s">
        <v>165</v>
      </c>
      <c r="W3" s="109" t="s">
        <v>166</v>
      </c>
      <c r="X3" s="109" t="s">
        <v>167</v>
      </c>
      <c r="Y3" s="109" t="s">
        <v>168</v>
      </c>
      <c r="Z3" s="109" t="s">
        <v>169</v>
      </c>
      <c r="AC3" s="97" t="s">
        <v>170</v>
      </c>
    </row>
    <row r="4" customFormat="false" ht="18" hidden="false" customHeight="true" outlineLevel="0" collapsed="false">
      <c r="A4" s="117" t="s">
        <v>171</v>
      </c>
      <c r="B4" s="118" t="n">
        <f aca="false">+B7+B10+B14</f>
        <v>1</v>
      </c>
      <c r="C4" s="119" t="n">
        <f aca="false">'Coût du projet'!C46</f>
        <v>5000000</v>
      </c>
      <c r="D4" s="99"/>
      <c r="E4" s="110"/>
      <c r="F4" s="113" t="s">
        <v>172</v>
      </c>
      <c r="G4" s="114" t="s">
        <v>164</v>
      </c>
      <c r="H4" s="115" t="n">
        <f aca="false">+IF(G4=$AC$11,$R$6,0)</f>
        <v>0</v>
      </c>
      <c r="I4" s="101"/>
      <c r="Q4" s="116"/>
      <c r="S4" s="120" t="s">
        <v>170</v>
      </c>
      <c r="T4" s="120" t="s">
        <v>100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173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174</v>
      </c>
      <c r="G5" s="124" t="s">
        <v>159</v>
      </c>
      <c r="H5" s="125" t="n">
        <f aca="false">+IF(E3=S4,R8,0)+IF(E3=S6,R8,0)+IF(E3=S8,V8,0)+IF(E3=S9,(R8-H6),0)</f>
        <v>0.6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101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175</v>
      </c>
    </row>
    <row r="6" customFormat="false" ht="18" hidden="false" customHeight="true" outlineLevel="0" collapsed="false">
      <c r="A6" s="126" t="s">
        <v>176</v>
      </c>
      <c r="B6" s="127"/>
      <c r="C6" s="128"/>
      <c r="D6" s="99"/>
      <c r="E6" s="110"/>
      <c r="F6" s="123" t="s">
        <v>169</v>
      </c>
      <c r="G6" s="124" t="s">
        <v>159</v>
      </c>
      <c r="H6" s="129" t="n">
        <f aca="false">+IF(E3=S8,Z8,0)+IF(E3=S9,Z9,0)</f>
        <v>0.3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173</v>
      </c>
      <c r="T6" s="130" t="s">
        <v>100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162</v>
      </c>
    </row>
    <row r="7" customFormat="false" ht="15.75" hidden="false" customHeight="true" outlineLevel="0" collapsed="false">
      <c r="A7" s="132" t="s">
        <v>177</v>
      </c>
      <c r="B7" s="133" t="n">
        <f aca="false">+SUM(B8:B9)</f>
        <v>0.1</v>
      </c>
      <c r="C7" s="134" t="n">
        <f aca="false">SUM(C8:C9)</f>
        <v>500000</v>
      </c>
      <c r="D7" s="99"/>
      <c r="E7" s="110"/>
      <c r="F7" s="135" t="s">
        <v>178</v>
      </c>
      <c r="G7" s="136" t="s">
        <v>164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101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179</v>
      </c>
      <c r="B8" s="139" t="n">
        <f aca="false">+H2</f>
        <v>0.1</v>
      </c>
      <c r="C8" s="140" t="n">
        <f aca="false">B8*C4</f>
        <v>500000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180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100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162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101</v>
      </c>
    </row>
    <row r="10" customFormat="false" ht="15.75" hidden="false" customHeight="true" outlineLevel="0" collapsed="false">
      <c r="A10" s="132" t="s">
        <v>181</v>
      </c>
      <c r="B10" s="133" t="n">
        <f aca="false">+SUM(B11:B13)</f>
        <v>0.3</v>
      </c>
      <c r="C10" s="134" t="n">
        <f aca="false">+SUM(C11:C13)</f>
        <v>1500000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161</v>
      </c>
      <c r="T10" s="120" t="s">
        <v>100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182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101</v>
      </c>
      <c r="AC11" s="97" t="s">
        <v>183</v>
      </c>
    </row>
    <row r="12" customFormat="false" ht="14.25" hidden="false" customHeight="true" outlineLevel="0" collapsed="false">
      <c r="A12" s="138" t="s">
        <v>184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164</v>
      </c>
    </row>
    <row r="13" customFormat="false" ht="14.25" hidden="false" customHeight="true" outlineLevel="0" collapsed="false">
      <c r="A13" s="138" t="s">
        <v>185</v>
      </c>
      <c r="B13" s="139" t="n">
        <f aca="false">+H6</f>
        <v>0.3</v>
      </c>
      <c r="C13" s="140" t="n">
        <f aca="false">B13*$C$4</f>
        <v>1500000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186</v>
      </c>
      <c r="B14" s="133" t="n">
        <f aca="false">+B15</f>
        <v>0.6</v>
      </c>
      <c r="C14" s="134" t="n">
        <f aca="false">+C15</f>
        <v>3000000</v>
      </c>
      <c r="D14" s="146"/>
      <c r="E14" s="141"/>
      <c r="F14" s="110"/>
      <c r="G14" s="145"/>
      <c r="H14" s="141"/>
      <c r="I14" s="101"/>
      <c r="Q14" s="144"/>
      <c r="R14" s="144"/>
      <c r="AC14" s="97" t="s">
        <v>187</v>
      </c>
    </row>
    <row r="15" customFormat="false" ht="15" hidden="false" customHeight="true" outlineLevel="0" collapsed="false">
      <c r="A15" s="147" t="s">
        <v>188</v>
      </c>
      <c r="B15" s="148" t="n">
        <f aca="false">+H5</f>
        <v>0.6</v>
      </c>
      <c r="C15" s="149" t="n">
        <f aca="false">C4-C7-C10</f>
        <v>3000000</v>
      </c>
      <c r="D15" s="146"/>
      <c r="E15" s="141"/>
      <c r="F15" s="110"/>
      <c r="G15" s="145"/>
      <c r="H15" s="141"/>
      <c r="I15" s="101"/>
      <c r="Q15" s="144"/>
      <c r="R15" s="144"/>
      <c r="AC15" s="97" t="s">
        <v>189</v>
      </c>
    </row>
    <row r="16" customFormat="false" ht="18" hidden="false" customHeight="true" outlineLevel="0" collapsed="false">
      <c r="A16" s="150" t="s">
        <v>190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191</v>
      </c>
    </row>
    <row r="17" customFormat="false" ht="14.25" hidden="false" customHeight="true" outlineLevel="0" collapsed="false">
      <c r="A17" s="153" t="s">
        <v>192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193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194</v>
      </c>
      <c r="B19" s="160" t="n">
        <v>36</v>
      </c>
      <c r="C19" s="161" t="s">
        <v>191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195</v>
      </c>
      <c r="B20" s="162" t="n">
        <v>0.08</v>
      </c>
      <c r="C20" s="161" t="s">
        <v>187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196</v>
      </c>
      <c r="B21" s="160" t="n">
        <v>3</v>
      </c>
      <c r="C21" s="161" t="s">
        <v>197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198</v>
      </c>
      <c r="B22" s="160" t="n">
        <v>36</v>
      </c>
      <c r="C22" s="161" t="s">
        <v>197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199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200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201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202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203</v>
      </c>
      <c r="B6" s="177" t="s">
        <v>204</v>
      </c>
      <c r="C6" s="177" t="s">
        <v>205</v>
      </c>
      <c r="D6" s="177" t="s">
        <v>206</v>
      </c>
      <c r="E6" s="177" t="s">
        <v>207</v>
      </c>
      <c r="F6" s="177" t="s">
        <v>208</v>
      </c>
      <c r="G6" s="168"/>
    </row>
    <row r="7" customFormat="false" ht="14.25" hidden="false" customHeight="true" outlineLevel="0" collapsed="false">
      <c r="A7" s="178" t="str">
        <f aca="false">+'Hypothèse de base'!A106</f>
        <v>Vente pastèque gros calibre</v>
      </c>
      <c r="B7" s="179" t="n">
        <f aca="false">+'Hypothèse de base'!I106</f>
        <v>5600000</v>
      </c>
      <c r="C7" s="179" t="n">
        <f aca="false">B7+(B7*$C$5)</f>
        <v>5712000</v>
      </c>
      <c r="D7" s="179" t="n">
        <f aca="false">C7+(C7*$D$5)</f>
        <v>5826240</v>
      </c>
      <c r="E7" s="179" t="n">
        <f aca="false">D7+(D7*$E$5)</f>
        <v>5942764.8</v>
      </c>
      <c r="F7" s="179" t="n">
        <f aca="false">E7+(E7*$F$5)</f>
        <v>6061620.096</v>
      </c>
      <c r="G7" s="168"/>
    </row>
    <row r="8" customFormat="false" ht="14.25" hidden="false" customHeight="true" outlineLevel="0" collapsed="false">
      <c r="A8" s="178" t="str">
        <f aca="false">+'Hypothèse de base'!A107</f>
        <v>Vente pastèque moyen calibre</v>
      </c>
      <c r="B8" s="179" t="n">
        <f aca="false">+'Hypothèse de base'!I107</f>
        <v>1800000</v>
      </c>
      <c r="C8" s="179" t="n">
        <f aca="false">B8+(B8*$C$5)</f>
        <v>1836000</v>
      </c>
      <c r="D8" s="179" t="n">
        <f aca="false">C8+(C8*$D$5)</f>
        <v>1872720</v>
      </c>
      <c r="E8" s="179" t="n">
        <f aca="false">D8+(D8*$E$5)</f>
        <v>1910174.4</v>
      </c>
      <c r="F8" s="179" t="n">
        <f aca="false">E8+(E8*$F$5)</f>
        <v>1948377.888</v>
      </c>
      <c r="G8" s="168"/>
    </row>
    <row r="9" customFormat="false" ht="14.25" hidden="false" customHeight="true" outlineLevel="0" collapsed="false">
      <c r="A9" s="178" t="n">
        <f aca="false">+'Hypothèse de base'!A108</f>
        <v>0</v>
      </c>
      <c r="B9" s="179" t="n">
        <f aca="false">+'Hypothèse de base'!I108</f>
        <v>0</v>
      </c>
      <c r="C9" s="179" t="n">
        <f aca="false">B9+(B9*$C$5)</f>
        <v>0</v>
      </c>
      <c r="D9" s="179" t="n">
        <f aca="false">C9+(C9*$D$5)</f>
        <v>0</v>
      </c>
      <c r="E9" s="179" t="n">
        <f aca="false">D9+(D9*$E$5)</f>
        <v>0</v>
      </c>
      <c r="F9" s="179" t="n">
        <f aca="false">E9+(E9*$F$5)</f>
        <v>0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base'!A113</f>
        <v>0</v>
      </c>
      <c r="B11" s="179" t="n">
        <f aca="false">+'Hypothèse de base'!I113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209</v>
      </c>
      <c r="B12" s="182" t="n">
        <f aca="false">SUM(B7:B11)</f>
        <v>7400000</v>
      </c>
      <c r="C12" s="182" t="n">
        <f aca="false">SUM(C7:C11)</f>
        <v>7548000</v>
      </c>
      <c r="D12" s="182" t="n">
        <f aca="false">SUM(D7:D11)</f>
        <v>7698960</v>
      </c>
      <c r="E12" s="182" t="n">
        <f aca="false">SUM(E7:E11)</f>
        <v>7852939.2</v>
      </c>
      <c r="F12" s="182" t="n">
        <f aca="false">SUM(F7:F11)</f>
        <v>8009997.984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210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211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203</v>
      </c>
      <c r="B17" s="177" t="s">
        <v>204</v>
      </c>
      <c r="C17" s="177" t="s">
        <v>205</v>
      </c>
      <c r="D17" s="177" t="s">
        <v>206</v>
      </c>
      <c r="E17" s="177" t="s">
        <v>207</v>
      </c>
      <c r="F17" s="177" t="s">
        <v>208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pastèque</v>
      </c>
      <c r="B18" s="179" t="n">
        <f aca="false">+'Hypothèse de base'!I7+'Hypothèse de base'!I18</f>
        <v>720000</v>
      </c>
      <c r="C18" s="179" t="n">
        <f aca="false">B18+(B18*$C$16)</f>
        <v>763200</v>
      </c>
      <c r="D18" s="179" t="n">
        <f aca="false">C18+(C18*$D$16)</f>
        <v>824256</v>
      </c>
      <c r="E18" s="179" t="n">
        <f aca="false">D18+(D18*$E$16)</f>
        <v>890196.48</v>
      </c>
      <c r="F18" s="179" t="n">
        <f aca="false">E18+(E18*$F$16)</f>
        <v>961412.1984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Engrais NPK 50 kg</v>
      </c>
      <c r="B19" s="179" t="n">
        <f aca="false">+'Hypothèse de base'!I8+'Hypothèse de base'!I19</f>
        <v>550000</v>
      </c>
      <c r="C19" s="180" t="n">
        <f aca="false">B19+(B19*$C$16)</f>
        <v>583000</v>
      </c>
      <c r="D19" s="180" t="n">
        <f aca="false">C19+(C19*$D$16)</f>
        <v>629640</v>
      </c>
      <c r="E19" s="180" t="n">
        <f aca="false">D19+(D19*$E$16)</f>
        <v>680011.2</v>
      </c>
      <c r="F19" s="180" t="n">
        <f aca="false">E19+(E19*$F$16)</f>
        <v>734412.096</v>
      </c>
      <c r="G19" s="168"/>
    </row>
    <row r="20" customFormat="false" ht="14.25" hidden="false" customHeight="true" outlineLevel="0" collapsed="false">
      <c r="A20" s="178" t="str">
        <f aca="false">+'Hypothèse de base'!A9</f>
        <v>Intrant Urée 50 kg</v>
      </c>
      <c r="B20" s="179" t="n">
        <f aca="false">+'Hypothèse de base'!I9+'Hypothèse de base'!I20</f>
        <v>230000</v>
      </c>
      <c r="C20" s="180" t="n">
        <f aca="false">B20+(B20*$C$16)</f>
        <v>243800</v>
      </c>
      <c r="D20" s="180" t="n">
        <f aca="false">C20+(C20*$D$16)</f>
        <v>263304</v>
      </c>
      <c r="E20" s="180" t="n">
        <f aca="false">D20+(D20*$E$16)</f>
        <v>284368.32</v>
      </c>
      <c r="F20" s="180" t="n">
        <f aca="false">E20+(E20*$F$16)</f>
        <v>307117.7856</v>
      </c>
      <c r="G20" s="168"/>
    </row>
    <row r="21" customFormat="false" ht="15" hidden="false" customHeight="true" outlineLevel="0" collapsed="false">
      <c r="A21" s="178" t="str">
        <f aca="false">+'Hypothèse de base'!A10</f>
        <v>Fongicide + insecticide</v>
      </c>
      <c r="B21" s="179" t="n">
        <f aca="false">+'Hypothèse de base'!I10+'Hypothèse de base'!I21</f>
        <v>360000</v>
      </c>
      <c r="C21" s="180" t="n">
        <f aca="false">B21+(B21*$C$16)</f>
        <v>381600</v>
      </c>
      <c r="D21" s="180" t="n">
        <f aca="false">C21+(C21*$D$16)</f>
        <v>412128</v>
      </c>
      <c r="E21" s="180" t="n">
        <f aca="false">D21+(D21*$E$16)</f>
        <v>445098.24</v>
      </c>
      <c r="F21" s="180" t="n">
        <f aca="false">E21+(E21*$F$16)</f>
        <v>480706.0992</v>
      </c>
      <c r="G21" s="168"/>
    </row>
    <row r="22" customFormat="false" ht="15" hidden="false" customHeight="true" outlineLevel="0" collapsed="false">
      <c r="A22" s="178" t="str">
        <f aca="false">+'Hypothèse de base'!A11</f>
        <v>Fumure organique</v>
      </c>
      <c r="B22" s="179" t="n">
        <f aca="false">+'Hypothèse de base'!I11+'Hypothèse de base'!I22</f>
        <v>60000</v>
      </c>
      <c r="C22" s="180" t="n">
        <f aca="false">B22+(B22*$C$16)</f>
        <v>63600</v>
      </c>
      <c r="D22" s="180" t="n">
        <f aca="false">C22+(C22*$D$16)</f>
        <v>68688</v>
      </c>
      <c r="E22" s="180" t="n">
        <f aca="false">D22+(D22*$E$16)</f>
        <v>74183.04</v>
      </c>
      <c r="F22" s="180" t="n">
        <f aca="false">E22+(E22*$F$16)</f>
        <v>80117.6832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212</v>
      </c>
      <c r="B24" s="182" t="n">
        <f aca="false">SUM(B18:B23)</f>
        <v>1920000</v>
      </c>
      <c r="C24" s="182" t="n">
        <f aca="false">SUM(C18:C23)</f>
        <v>2035200</v>
      </c>
      <c r="D24" s="182" t="n">
        <f aca="false">SUM(D18:D23)</f>
        <v>2198016</v>
      </c>
      <c r="E24" s="182" t="n">
        <f aca="false">SUM(E18:E23)</f>
        <v>2373857.28</v>
      </c>
      <c r="F24" s="182" t="n">
        <f aca="false">SUM(F18:F23)</f>
        <v>2563765.8624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213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203</v>
      </c>
      <c r="B27" s="187" t="s">
        <v>204</v>
      </c>
      <c r="C27" s="187" t="s">
        <v>205</v>
      </c>
      <c r="D27" s="187" t="s">
        <v>206</v>
      </c>
      <c r="E27" s="187" t="s">
        <v>207</v>
      </c>
      <c r="F27" s="187" t="s">
        <v>208</v>
      </c>
      <c r="G27" s="168"/>
    </row>
    <row r="28" customFormat="false" ht="14.25" hidden="false" customHeight="true" outlineLevel="0" collapsed="false">
      <c r="A28" s="178" t="s">
        <v>214</v>
      </c>
      <c r="B28" s="180" t="n">
        <f aca="false">+'Hypothèse de base'!H38</f>
        <v>2100000</v>
      </c>
      <c r="C28" s="180" t="n">
        <f aca="false">B28+(B28*$C$26)</f>
        <v>2205000</v>
      </c>
      <c r="D28" s="180" t="n">
        <f aca="false">C28+(C28*$D$26)</f>
        <v>2205000</v>
      </c>
      <c r="E28" s="180" t="n">
        <f aca="false">D28+(D28*$E$26)</f>
        <v>2205000</v>
      </c>
      <c r="F28" s="180" t="n">
        <f aca="false">E28+(E28*$F$26)</f>
        <v>2205000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215</v>
      </c>
      <c r="B30" s="182" t="n">
        <f aca="false">SUM(B28:B29)</f>
        <v>2100000</v>
      </c>
      <c r="C30" s="182" t="n">
        <f aca="false">SUM(C28:C29)</f>
        <v>2205000</v>
      </c>
      <c r="D30" s="182" t="n">
        <f aca="false">SUM(D28:D29)</f>
        <v>2205000</v>
      </c>
      <c r="E30" s="182" t="n">
        <f aca="false">SUM(E28:E29)</f>
        <v>2205000</v>
      </c>
      <c r="F30" s="182" t="n">
        <f aca="false">SUM(F28:F29)</f>
        <v>2205000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216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203</v>
      </c>
      <c r="B33" s="187" t="s">
        <v>204</v>
      </c>
      <c r="C33" s="187" t="s">
        <v>205</v>
      </c>
      <c r="D33" s="187" t="s">
        <v>206</v>
      </c>
      <c r="E33" s="187" t="s">
        <v>207</v>
      </c>
      <c r="F33" s="187" t="s">
        <v>208</v>
      </c>
      <c r="G33" s="168"/>
      <c r="H33" s="189"/>
      <c r="I33" s="189"/>
    </row>
    <row r="34" customFormat="false" ht="14.25" hidden="false" customHeight="true" outlineLevel="0" collapsed="false">
      <c r="A34" s="178" t="s">
        <v>217</v>
      </c>
      <c r="B34" s="190" t="n">
        <f aca="false">0.5%*B30</f>
        <v>10500</v>
      </c>
      <c r="C34" s="190" t="n">
        <f aca="false">0.5%*C30</f>
        <v>11025</v>
      </c>
      <c r="D34" s="190" t="n">
        <f aca="false">0.5%*D30</f>
        <v>11025</v>
      </c>
      <c r="E34" s="190" t="n">
        <f aca="false">0.5%*E30</f>
        <v>11025</v>
      </c>
      <c r="F34" s="190" t="n">
        <f aca="false">0.5%*F30</f>
        <v>11025</v>
      </c>
      <c r="G34" s="191"/>
      <c r="H34" s="189"/>
      <c r="I34" s="189"/>
    </row>
    <row r="35" customFormat="false" ht="14.25" hidden="false" customHeight="true" outlineLevel="0" collapsed="false">
      <c r="A35" s="178" t="s">
        <v>218</v>
      </c>
      <c r="B35" s="190" t="n">
        <f aca="false">7.5%*B30</f>
        <v>157500</v>
      </c>
      <c r="C35" s="190" t="n">
        <f aca="false">7.5%*C30</f>
        <v>165375</v>
      </c>
      <c r="D35" s="190" t="n">
        <f aca="false">7.5%*D30</f>
        <v>165375</v>
      </c>
      <c r="E35" s="190" t="n">
        <f aca="false">7.5%*E30</f>
        <v>165375</v>
      </c>
      <c r="F35" s="190" t="n">
        <f aca="false">7.5%*F30</f>
        <v>165375</v>
      </c>
      <c r="G35" s="191"/>
      <c r="H35" s="189"/>
      <c r="I35" s="189"/>
    </row>
    <row r="36" customFormat="false" ht="14.25" hidden="false" customHeight="true" outlineLevel="0" collapsed="false">
      <c r="A36" s="178" t="s">
        <v>219</v>
      </c>
      <c r="B36" s="190" t="n">
        <f aca="false">+B30*1%</f>
        <v>21000</v>
      </c>
      <c r="C36" s="190" t="n">
        <f aca="false">+C30*1%</f>
        <v>22050</v>
      </c>
      <c r="D36" s="190" t="n">
        <f aca="false">+D30*1%</f>
        <v>22050</v>
      </c>
      <c r="E36" s="190" t="n">
        <f aca="false">+E30*1%</f>
        <v>22050</v>
      </c>
      <c r="F36" s="190" t="n">
        <f aca="false">+F30*1%</f>
        <v>22050</v>
      </c>
      <c r="G36" s="191"/>
      <c r="H36" s="189"/>
      <c r="I36" s="189"/>
    </row>
    <row r="37" customFormat="false" ht="27" hidden="false" customHeight="true" outlineLevel="0" collapsed="false">
      <c r="A37" s="192" t="s">
        <v>220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212</v>
      </c>
      <c r="B38" s="193" t="n">
        <f aca="false">SUM(B34:B37)</f>
        <v>189000</v>
      </c>
      <c r="C38" s="193" t="n">
        <f aca="false">SUM(C34:C37)</f>
        <v>198450</v>
      </c>
      <c r="D38" s="193" t="n">
        <f aca="false">SUM(D34:D37)</f>
        <v>198450</v>
      </c>
      <c r="E38" s="193" t="n">
        <f aca="false">SUM(E34:E37)</f>
        <v>198450</v>
      </c>
      <c r="F38" s="193" t="n">
        <f aca="false">SUM(F34:F37)</f>
        <v>198450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221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203</v>
      </c>
      <c r="B41" s="187" t="s">
        <v>204</v>
      </c>
      <c r="C41" s="187" t="s">
        <v>205</v>
      </c>
      <c r="D41" s="187" t="s">
        <v>206</v>
      </c>
      <c r="E41" s="187" t="s">
        <v>207</v>
      </c>
      <c r="F41" s="187" t="s">
        <v>208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450000</v>
      </c>
      <c r="C42" s="180" t="n">
        <f aca="false">B42+(B42*$C$26)</f>
        <v>472500</v>
      </c>
      <c r="D42" s="180" t="n">
        <f aca="false">C42+(C42*$D$26)</f>
        <v>472500</v>
      </c>
      <c r="E42" s="180" t="n">
        <f aca="false">D42+(D42*$E$26)</f>
        <v>472500</v>
      </c>
      <c r="F42" s="180" t="n">
        <f aca="false">E42+(E42*$F$26)</f>
        <v>472500</v>
      </c>
      <c r="G42" s="168"/>
    </row>
    <row r="43" customFormat="false" ht="14.25" hidden="false" customHeight="true" outlineLevel="0" collapsed="false">
      <c r="A43" s="194" t="n">
        <f aca="false">+'Hypothèse de base'!A92</f>
        <v>0</v>
      </c>
      <c r="B43" s="180" t="n">
        <f aca="false">+'Hypothèse de base'!F92</f>
        <v>0</v>
      </c>
      <c r="C43" s="180" t="n">
        <f aca="false">B43+(B43*$C$26)</f>
        <v>0</v>
      </c>
      <c r="D43" s="180" t="n">
        <f aca="false">C43+(C43*$D$26)</f>
        <v>0</v>
      </c>
      <c r="E43" s="180" t="n">
        <f aca="false">D43+(D43*$E$26)</f>
        <v>0</v>
      </c>
      <c r="F43" s="180" t="n">
        <f aca="false">E43+(E43*$F$26)</f>
        <v>0</v>
      </c>
      <c r="G43" s="168"/>
    </row>
    <row r="44" customFormat="false" ht="14.25" hidden="false" customHeight="true" outlineLevel="0" collapsed="false">
      <c r="A44" s="194" t="n">
        <f aca="false">+'Hypothèse de base'!A93</f>
        <v>0</v>
      </c>
      <c r="B44" s="180" t="n">
        <f aca="false">+'Hypothèse de base'!F93</f>
        <v>0</v>
      </c>
      <c r="C44" s="180" t="n">
        <f aca="false">B44+(B44*$C$26)</f>
        <v>0</v>
      </c>
      <c r="D44" s="180" t="n">
        <f aca="false">C44+(C44*$D$26)</f>
        <v>0</v>
      </c>
      <c r="E44" s="180" t="n">
        <f aca="false">D44+(D44*$E$26)</f>
        <v>0</v>
      </c>
      <c r="F44" s="180" t="n">
        <f aca="false">E44+(E44*$F$26)</f>
        <v>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212</v>
      </c>
      <c r="B49" s="182" t="n">
        <f aca="false">SUM(B42:B48)</f>
        <v>450000</v>
      </c>
      <c r="C49" s="182" t="n">
        <f aca="false">SUM(C42:C48)</f>
        <v>472500</v>
      </c>
      <c r="D49" s="182" t="n">
        <f aca="false">SUM(D42:D48)</f>
        <v>472500</v>
      </c>
      <c r="E49" s="182" t="n">
        <f aca="false">SUM(E42:E48)</f>
        <v>472500</v>
      </c>
      <c r="F49" s="182" t="n">
        <f aca="false">SUM(F42:F48)</f>
        <v>472500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222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203</v>
      </c>
      <c r="B53" s="187" t="s">
        <v>204</v>
      </c>
      <c r="C53" s="187" t="s">
        <v>205</v>
      </c>
      <c r="D53" s="187" t="s">
        <v>206</v>
      </c>
      <c r="E53" s="187" t="s">
        <v>207</v>
      </c>
      <c r="F53" s="187" t="s">
        <v>208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212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223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203</v>
      </c>
      <c r="B65" s="177" t="s">
        <v>78</v>
      </c>
      <c r="C65" s="177" t="s">
        <v>224</v>
      </c>
      <c r="D65" s="177" t="s">
        <v>225</v>
      </c>
      <c r="E65" s="177" t="s">
        <v>205</v>
      </c>
      <c r="F65" s="177" t="s">
        <v>206</v>
      </c>
      <c r="G65" s="168"/>
    </row>
    <row r="66" customFormat="false" ht="14.25" hidden="false" customHeight="true" outlineLevel="0" collapsed="false">
      <c r="A66" s="196" t="s">
        <v>226</v>
      </c>
      <c r="B66" s="197" t="n">
        <f aca="false">+'Coût du projet'!C4</f>
        <v>15000</v>
      </c>
      <c r="C66" s="198" t="n">
        <v>1</v>
      </c>
      <c r="D66" s="180" t="n">
        <f aca="false">+B66*C66</f>
        <v>15000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Aménagement préparatoire</v>
      </c>
      <c r="B73" s="196" t="n">
        <f aca="false">+'Coût du projet'!B20</f>
        <v>45000</v>
      </c>
      <c r="C73" s="200" t="n">
        <v>0.25</v>
      </c>
      <c r="D73" s="180" t="n">
        <f aca="false">+B73*C73</f>
        <v>11250</v>
      </c>
      <c r="E73" s="180" t="n">
        <f aca="false">D73</f>
        <v>11250</v>
      </c>
      <c r="F73" s="180" t="n">
        <f aca="false">E73</f>
        <v>11250</v>
      </c>
      <c r="G73" s="168"/>
    </row>
    <row r="74" customFormat="false" ht="14.25" hidden="false" customHeight="true" outlineLevel="0" collapsed="false">
      <c r="A74" s="196" t="str">
        <f aca="false">+'Coût du projet'!A21</f>
        <v>Formation des billons</v>
      </c>
      <c r="B74" s="196" t="n">
        <f aca="false">+'Coût du projet'!B21</f>
        <v>60000</v>
      </c>
      <c r="C74" s="200" t="n">
        <v>0.25</v>
      </c>
      <c r="D74" s="180" t="n">
        <f aca="false">+B74*C74</f>
        <v>15000</v>
      </c>
      <c r="E74" s="180" t="n">
        <f aca="false">D74</f>
        <v>15000</v>
      </c>
      <c r="F74" s="180" t="n">
        <f aca="false">E74</f>
        <v>15000</v>
      </c>
      <c r="G74" s="168"/>
    </row>
    <row r="75" customFormat="false" ht="14.25" hidden="false" customHeight="true" outlineLevel="0" collapsed="false">
      <c r="A75" s="196" t="str">
        <f aca="false">+'Coût du projet'!A22</f>
        <v>Système goutte-à-goutte</v>
      </c>
      <c r="B75" s="196" t="n">
        <f aca="false">+'Coût du projet'!B22</f>
        <v>750000</v>
      </c>
      <c r="C75" s="200" t="n">
        <v>0.25</v>
      </c>
      <c r="D75" s="180" t="n">
        <f aca="false">+B75*C75</f>
        <v>187500</v>
      </c>
      <c r="E75" s="180" t="n">
        <f aca="false">D75</f>
        <v>187500</v>
      </c>
      <c r="F75" s="180" t="n">
        <f aca="false">E75</f>
        <v>187500</v>
      </c>
      <c r="G75" s="168"/>
    </row>
    <row r="76" customFormat="false" ht="14.25" hidden="false" customHeight="true" outlineLevel="0" collapsed="false">
      <c r="A76" s="196" t="str">
        <f aca="false">+'Coût du projet'!A23</f>
        <v>Clôture en grillage 0,75 ha</v>
      </c>
      <c r="B76" s="196" t="n">
        <f aca="false">+'Coût du projet'!B23</f>
        <v>1000000</v>
      </c>
      <c r="C76" s="200" t="n">
        <v>0.25</v>
      </c>
      <c r="D76" s="180" t="n">
        <f aca="false">+B76*C76</f>
        <v>250000</v>
      </c>
      <c r="E76" s="180" t="n">
        <f aca="false">D76</f>
        <v>250000</v>
      </c>
      <c r="F76" s="180" t="n">
        <f aca="false">E76</f>
        <v>250000</v>
      </c>
      <c r="G76" s="168"/>
    </row>
    <row r="77" customFormat="false" ht="14.25" hidden="false" customHeight="true" outlineLevel="0" collapsed="false">
      <c r="A77" s="196" t="str">
        <f aca="false">+'Coût du projet'!A24</f>
        <v>Bassin 40 m³</v>
      </c>
      <c r="B77" s="196" t="n">
        <f aca="false">+'Coût du projet'!B24</f>
        <v>250000</v>
      </c>
      <c r="C77" s="200" t="n">
        <v>0.25</v>
      </c>
      <c r="D77" s="180" t="n">
        <f aca="false">+B77*C77</f>
        <v>62500</v>
      </c>
      <c r="E77" s="180" t="n">
        <f aca="false">D77</f>
        <v>62500</v>
      </c>
      <c r="F77" s="180" t="n">
        <f aca="false">E77</f>
        <v>62500</v>
      </c>
      <c r="G77" s="168"/>
    </row>
    <row r="78" customFormat="false" ht="14.25" hidden="false" customHeight="true" outlineLevel="0" collapsed="false">
      <c r="A78" s="196" t="str">
        <f aca="false">+'Coût du projet'!A25</f>
        <v>Puits à grand diamètre</v>
      </c>
      <c r="B78" s="196" t="n">
        <f aca="false">+'Coût du projet'!B25</f>
        <v>980000</v>
      </c>
      <c r="C78" s="200" t="n">
        <v>0.25</v>
      </c>
      <c r="D78" s="180" t="n">
        <f aca="false">+B78*C78</f>
        <v>245000</v>
      </c>
      <c r="E78" s="180" t="n">
        <f aca="false">D78</f>
        <v>245000</v>
      </c>
      <c r="F78" s="180" t="n">
        <f aca="false">E78</f>
        <v>245000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str">
        <f aca="false">+'Coût du projet'!A29</f>
        <v>Balance</v>
      </c>
      <c r="B82" s="196" t="n">
        <f aca="false">+'Coût du projet'!B29</f>
        <v>20000</v>
      </c>
      <c r="C82" s="200" t="n">
        <v>0.333333333333333</v>
      </c>
      <c r="D82" s="180" t="n">
        <f aca="false">+B82*C82</f>
        <v>6666.66666666666</v>
      </c>
      <c r="E82" s="180" t="n">
        <f aca="false">D82</f>
        <v>6666.66666666666</v>
      </c>
      <c r="F82" s="180" t="n">
        <f aca="false">E82</f>
        <v>6666.66666666666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projet'!A32</f>
        <v>0</v>
      </c>
      <c r="B84" s="196" t="n">
        <f aca="false">+'Coût du projet'!B32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projet'!A33</f>
        <v>0</v>
      </c>
      <c r="B85" s="196" t="n">
        <f aca="false">+'Coût du projet'!B33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Paillage en plastique</v>
      </c>
      <c r="B87" s="196" t="n">
        <f aca="false">+'Coût du projet'!B35</f>
        <v>400000</v>
      </c>
      <c r="C87" s="200" t="n">
        <v>0.2</v>
      </c>
      <c r="D87" s="180" t="n">
        <f aca="false">+B87*C87</f>
        <v>80000</v>
      </c>
      <c r="E87" s="180" t="n">
        <f aca="false">D87</f>
        <v>80000</v>
      </c>
      <c r="F87" s="180" t="n">
        <f aca="false">E87</f>
        <v>80000</v>
      </c>
      <c r="G87" s="168"/>
    </row>
    <row r="88" customFormat="false" ht="14.25" hidden="false" customHeight="true" outlineLevel="0" collapsed="false">
      <c r="A88" s="196" t="str">
        <f aca="false">+'Coût du projet'!A36</f>
        <v>Pulvérisateurs</v>
      </c>
      <c r="B88" s="196" t="n">
        <f aca="false">+'Coût du projet'!B36</f>
        <v>75000</v>
      </c>
      <c r="C88" s="200" t="n">
        <v>0.2</v>
      </c>
      <c r="D88" s="180" t="n">
        <f aca="false">+B88*C88</f>
        <v>15000</v>
      </c>
      <c r="E88" s="180" t="n">
        <f aca="false">D88</f>
        <v>15000</v>
      </c>
      <c r="F88" s="180" t="n">
        <f aca="false">E88</f>
        <v>15000</v>
      </c>
      <c r="G88" s="168"/>
    </row>
    <row r="89" customFormat="false" ht="14.25" hidden="false" customHeight="true" outlineLevel="0" collapsed="false">
      <c r="A89" s="196" t="str">
        <f aca="false">+'Coût du projet'!A37</f>
        <v>Brouettes + Houes</v>
      </c>
      <c r="B89" s="196" t="n">
        <f aca="false">+'Coût du projet'!B37</f>
        <v>60000</v>
      </c>
      <c r="C89" s="200" t="n">
        <v>0.2</v>
      </c>
      <c r="D89" s="180" t="n">
        <f aca="false">+B89*C89</f>
        <v>12000</v>
      </c>
      <c r="E89" s="180" t="n">
        <f aca="false">D89</f>
        <v>12000</v>
      </c>
      <c r="F89" s="180" t="n">
        <f aca="false">E89</f>
        <v>12000</v>
      </c>
      <c r="G89" s="168"/>
    </row>
    <row r="90" customFormat="false" ht="14.25" hidden="false" customHeight="true" outlineLevel="0" collapsed="false">
      <c r="A90" s="196" t="str">
        <f aca="false">+'Coût du projet'!A38</f>
        <v>P 17 (2000 m)</v>
      </c>
      <c r="B90" s="196" t="n">
        <f aca="false">+'Coût du projet'!B38</f>
        <v>300000</v>
      </c>
      <c r="C90" s="200" t="n">
        <v>0.2</v>
      </c>
      <c r="D90" s="180" t="n">
        <f aca="false">+B90*C90</f>
        <v>60000</v>
      </c>
      <c r="E90" s="180" t="n">
        <f aca="false">D90</f>
        <v>60000</v>
      </c>
      <c r="F90" s="180" t="n">
        <f aca="false">E90</f>
        <v>60000</v>
      </c>
      <c r="G90" s="168"/>
    </row>
    <row r="91" customFormat="false" ht="14.25" hidden="false" customHeight="true" outlineLevel="0" collapsed="false">
      <c r="A91" s="196" t="str">
        <f aca="false">+'Coût du projet'!A39</f>
        <v>Outils divers (dabas, pioches, pelles)</v>
      </c>
      <c r="B91" s="196" t="n">
        <f aca="false">+'Coût du projet'!B39</f>
        <v>45000</v>
      </c>
      <c r="C91" s="200" t="n">
        <v>0.2</v>
      </c>
      <c r="D91" s="180" t="n">
        <f aca="false">+B91*C91</f>
        <v>9000</v>
      </c>
      <c r="E91" s="180" t="n">
        <f aca="false">D91</f>
        <v>9000</v>
      </c>
      <c r="F91" s="180" t="n">
        <f aca="false">E91</f>
        <v>9000</v>
      </c>
      <c r="G91" s="168"/>
    </row>
    <row r="92" customFormat="false" ht="14.25" hidden="false" customHeight="true" outlineLevel="0" collapsed="false">
      <c r="A92" s="181" t="s">
        <v>212</v>
      </c>
      <c r="B92" s="182" t="n">
        <f aca="false">+SUM(B66:B91)</f>
        <v>4000000</v>
      </c>
      <c r="C92" s="182"/>
      <c r="D92" s="182" t="n">
        <f aca="false">+SUM(D66:D91)</f>
        <v>968916.666666667</v>
      </c>
      <c r="E92" s="182" t="n">
        <f aca="false">+SUM(E66:E91)</f>
        <v>953916.666666667</v>
      </c>
      <c r="F92" s="182" t="n">
        <f aca="false">+SUM(F66:F91)</f>
        <v>953916.666666667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227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228</v>
      </c>
      <c r="B1" s="208"/>
      <c r="C1" s="209" t="n">
        <f aca="false">+'Plan Financement'!C14</f>
        <v>3000000</v>
      </c>
      <c r="D1" s="210" t="s">
        <v>229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230</v>
      </c>
      <c r="B2" s="208"/>
      <c r="C2" s="216" t="n">
        <f aca="false">+'Plan Financement'!B20</f>
        <v>0.08</v>
      </c>
      <c r="D2" s="217" t="s">
        <v>231</v>
      </c>
      <c r="E2" s="218" t="n">
        <f aca="false">C2/12</f>
        <v>0.00666666666666667</v>
      </c>
      <c r="F2" s="219" t="s">
        <v>232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233</v>
      </c>
      <c r="B3" s="208"/>
      <c r="C3" s="216" t="n">
        <f aca="false">+'Plan Financement'!B23</f>
        <v>0.17</v>
      </c>
      <c r="D3" s="221" t="s">
        <v>234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235</v>
      </c>
      <c r="B4" s="208"/>
      <c r="C4" s="216" t="n">
        <f aca="false">C2*(1+C3)</f>
        <v>0.0936</v>
      </c>
      <c r="D4" s="221" t="s">
        <v>234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236</v>
      </c>
      <c r="B5" s="208"/>
      <c r="C5" s="222" t="s">
        <v>232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237</v>
      </c>
      <c r="B6" s="208"/>
      <c r="C6" s="223" t="n">
        <f aca="false">+'Plan Financement'!B21</f>
        <v>3</v>
      </c>
      <c r="D6" s="224" t="s">
        <v>197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238</v>
      </c>
      <c r="B7" s="208"/>
      <c r="C7" s="223" t="n">
        <f aca="false">+'Plan Financement'!B19</f>
        <v>36</v>
      </c>
      <c r="D7" s="224" t="s">
        <v>197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239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240</v>
      </c>
      <c r="B10" s="228" t="s">
        <v>78</v>
      </c>
      <c r="C10" s="228" t="s">
        <v>241</v>
      </c>
      <c r="D10" s="228" t="s">
        <v>199</v>
      </c>
      <c r="E10" s="228" t="s">
        <v>242</v>
      </c>
      <c r="F10" s="228" t="s">
        <v>243</v>
      </c>
      <c r="G10" s="228"/>
      <c r="H10" s="228"/>
      <c r="I10" s="168"/>
      <c r="L10" s="229"/>
      <c r="M10" s="228" t="s">
        <v>241</v>
      </c>
      <c r="N10" s="228" t="s">
        <v>199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244</v>
      </c>
      <c r="G11" s="228" t="s">
        <v>245</v>
      </c>
      <c r="H11" s="228" t="s">
        <v>246</v>
      </c>
      <c r="I11" s="168"/>
      <c r="L11" s="228" t="s">
        <v>245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3000000</v>
      </c>
      <c r="C12" s="232" t="n">
        <f aca="false">+IF(M12&gt;=0,M12,0)</f>
        <v>20000</v>
      </c>
      <c r="D12" s="232" t="n">
        <f aca="false">+IF(N12&gt;=0,N12,0)</f>
        <v>3400</v>
      </c>
      <c r="E12" s="232" t="n">
        <f aca="false">+C12+D12</f>
        <v>23400</v>
      </c>
      <c r="F12" s="232" t="n">
        <f aca="false">+IF(C12&gt;1,J12,0)</f>
        <v>0</v>
      </c>
      <c r="G12" s="232" t="n">
        <f aca="false">+IF(E12&gt;1,L12,0)</f>
        <v>23400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23400</v>
      </c>
      <c r="M12" s="233" t="n">
        <f aca="false">B12*E$2</f>
        <v>20000</v>
      </c>
      <c r="N12" s="234" t="n">
        <f aca="false">M12*C$3</f>
        <v>3400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3000000</v>
      </c>
      <c r="C13" s="232" t="n">
        <f aca="false">+IF(M13&gt;=0,M13,0)</f>
        <v>20000</v>
      </c>
      <c r="D13" s="232" t="n">
        <f aca="false">+IF(N13&gt;=0,N13,0)</f>
        <v>3400</v>
      </c>
      <c r="E13" s="232" t="n">
        <f aca="false">+C13+D13</f>
        <v>23400</v>
      </c>
      <c r="F13" s="232" t="n">
        <f aca="false">+IF(C13&gt;1,J13,0)</f>
        <v>0</v>
      </c>
      <c r="G13" s="232" t="n">
        <f aca="false">+IF(E13&gt;1,L13,0)</f>
        <v>23400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23400</v>
      </c>
      <c r="M13" s="233" t="n">
        <f aca="false">B13*E$2</f>
        <v>20000</v>
      </c>
      <c r="N13" s="234" t="n">
        <f aca="false">M13*C$3</f>
        <v>3400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3000000</v>
      </c>
      <c r="C14" s="232" t="n">
        <f aca="false">+IF(M14&gt;=0,M14,0)</f>
        <v>20000</v>
      </c>
      <c r="D14" s="232" t="n">
        <f aca="false">+IF(N14&gt;=0,N14,0)</f>
        <v>3400</v>
      </c>
      <c r="E14" s="232" t="n">
        <f aca="false">+C14+D14</f>
        <v>23400</v>
      </c>
      <c r="F14" s="232" t="n">
        <f aca="false">+IF(C14&gt;1,J14,0)</f>
        <v>0</v>
      </c>
      <c r="G14" s="232" t="n">
        <f aca="false">+IF(E14&gt;1,L14,0)</f>
        <v>23400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23400</v>
      </c>
      <c r="M14" s="233" t="n">
        <f aca="false">B14*E$2</f>
        <v>20000</v>
      </c>
      <c r="N14" s="234" t="n">
        <f aca="false">M14*C$3</f>
        <v>3400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3000000</v>
      </c>
      <c r="C15" s="232" t="n">
        <f aca="false">+IF(M15&gt;=0,M15,0)</f>
        <v>20000</v>
      </c>
      <c r="D15" s="232" t="n">
        <f aca="false">+IF(N15&gt;=0,N15,0)</f>
        <v>3400</v>
      </c>
      <c r="E15" s="232" t="n">
        <f aca="false">+C15+D15</f>
        <v>23400</v>
      </c>
      <c r="F15" s="232" t="n">
        <f aca="false">+IF(C15&gt;1,J15,0)</f>
        <v>90909.0909090909</v>
      </c>
      <c r="G15" s="232" t="n">
        <f aca="false">+IF(E15&gt;1,L15,0)</f>
        <v>114309.090909091</v>
      </c>
      <c r="H15" s="232" t="n">
        <f aca="false">IF(F15&lt;=0,0,$L$50)</f>
        <v>105090.909090909</v>
      </c>
      <c r="I15" s="168"/>
      <c r="J15" s="206" t="n">
        <f aca="false">+G15-E15</f>
        <v>90909.0909090909</v>
      </c>
      <c r="L15" s="233" t="n">
        <f aca="false">IF($C$6&gt;=4,E15,($C$1/$C$8)+E15)</f>
        <v>114309.090909091</v>
      </c>
      <c r="M15" s="233" t="n">
        <f aca="false">B15*E$2</f>
        <v>20000</v>
      </c>
      <c r="N15" s="234" t="n">
        <f aca="false">M15*C$3</f>
        <v>3400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2909090.90909091</v>
      </c>
      <c r="C16" s="232" t="n">
        <f aca="false">+IF(M16&gt;=0,M16,0)</f>
        <v>19393.9393939394</v>
      </c>
      <c r="D16" s="232" t="n">
        <f aca="false">+IF(N16&gt;=0,N16,0)</f>
        <v>3296.9696969697</v>
      </c>
      <c r="E16" s="232" t="n">
        <f aca="false">+C16+D16</f>
        <v>22690.9090909091</v>
      </c>
      <c r="F16" s="232" t="n">
        <f aca="false">+IF(C16&gt;1,J16,0)</f>
        <v>90909.0909090909</v>
      </c>
      <c r="G16" s="232" t="n">
        <f aca="false">+IF(E16&gt;1,L16,0)</f>
        <v>113600</v>
      </c>
      <c r="H16" s="232" t="n">
        <f aca="false">IF(F16&lt;=0,0,$L$50)</f>
        <v>105090.909090909</v>
      </c>
      <c r="I16" s="168"/>
      <c r="J16" s="206" t="n">
        <f aca="false">+G16-E16</f>
        <v>90909.0909090909</v>
      </c>
      <c r="L16" s="233" t="n">
        <f aca="false">IF($C$6&gt;=5,E16,($C$1/$C$8)+E16)</f>
        <v>113600</v>
      </c>
      <c r="M16" s="233" t="n">
        <f aca="false">B16*E$2</f>
        <v>19393.9393939394</v>
      </c>
      <c r="N16" s="234" t="n">
        <f aca="false">M16*C$3</f>
        <v>3296.9696969697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2818181.81818182</v>
      </c>
      <c r="C17" s="232" t="n">
        <f aca="false">+IF(M17&gt;=0,M17,0)</f>
        <v>18787.8787878788</v>
      </c>
      <c r="D17" s="232" t="n">
        <f aca="false">+IF(N17&gt;=0,N17,0)</f>
        <v>3193.9393939394</v>
      </c>
      <c r="E17" s="232" t="n">
        <f aca="false">+C17+D17</f>
        <v>21981.8181818182</v>
      </c>
      <c r="F17" s="232" t="n">
        <f aca="false">+IF(C17&gt;1,J17,0)</f>
        <v>90909.0909090909</v>
      </c>
      <c r="G17" s="232" t="n">
        <f aca="false">+IF(E17&gt;1,L17,0)</f>
        <v>112890.909090909</v>
      </c>
      <c r="H17" s="232" t="n">
        <f aca="false">IF(F17&lt;=0,0,$L$50)</f>
        <v>105090.909090909</v>
      </c>
      <c r="I17" s="168"/>
      <c r="J17" s="206" t="n">
        <f aca="false">+G17-E17</f>
        <v>90909.0909090909</v>
      </c>
      <c r="L17" s="233" t="n">
        <f aca="false">IF($C$6&gt;=6,E17,($C$1/$C$8)+E17)</f>
        <v>112890.909090909</v>
      </c>
      <c r="M17" s="233" t="n">
        <f aca="false">B17*E$2</f>
        <v>18787.8787878788</v>
      </c>
      <c r="N17" s="234" t="n">
        <f aca="false">M17*C$3</f>
        <v>3193.9393939394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2727272.72727273</v>
      </c>
      <c r="C18" s="232" t="n">
        <f aca="false">+IF(M18&gt;=0,M18,0)</f>
        <v>18181.8181818182</v>
      </c>
      <c r="D18" s="232" t="n">
        <f aca="false">+IF(N18&gt;=0,N18,0)</f>
        <v>3090.90909090909</v>
      </c>
      <c r="E18" s="232" t="n">
        <f aca="false">+C18+D18</f>
        <v>21272.7272727273</v>
      </c>
      <c r="F18" s="232" t="n">
        <f aca="false">+IF(C18&gt;1,J18,0)</f>
        <v>90909.0909090909</v>
      </c>
      <c r="G18" s="232" t="n">
        <f aca="false">+IF(E18&gt;1,L18,0)</f>
        <v>112181.818181818</v>
      </c>
      <c r="H18" s="232" t="n">
        <f aca="false">IF(F18&lt;=0,0,$L$50)</f>
        <v>105090.909090909</v>
      </c>
      <c r="I18" s="168"/>
      <c r="J18" s="206" t="n">
        <f aca="false">+G18-E18</f>
        <v>90909.0909090909</v>
      </c>
      <c r="L18" s="233" t="n">
        <f aca="false">IF($C$6&gt;=7,E18,($C$1/$C$8)+E18)</f>
        <v>112181.818181818</v>
      </c>
      <c r="M18" s="233" t="n">
        <f aca="false">B18*E$2</f>
        <v>18181.8181818182</v>
      </c>
      <c r="N18" s="234" t="n">
        <f aca="false">M18*C$3</f>
        <v>3090.90909090909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2636363.63636364</v>
      </c>
      <c r="C19" s="232" t="n">
        <f aca="false">+IF(M19&gt;=0,M19,0)</f>
        <v>17575.7575757576</v>
      </c>
      <c r="D19" s="232" t="n">
        <f aca="false">+IF(N19&gt;=0,N19,0)</f>
        <v>2987.87878787879</v>
      </c>
      <c r="E19" s="232" t="n">
        <f aca="false">+C19+D19</f>
        <v>20563.6363636364</v>
      </c>
      <c r="F19" s="232" t="n">
        <f aca="false">+IF(C19&gt;1,J19,0)</f>
        <v>90909.0909090909</v>
      </c>
      <c r="G19" s="232" t="n">
        <f aca="false">+IF(E19&gt;1,L19,0)</f>
        <v>111472.727272727</v>
      </c>
      <c r="H19" s="232" t="n">
        <f aca="false">IF(F19&lt;=0,0,$L$50)</f>
        <v>105090.909090909</v>
      </c>
      <c r="I19" s="168"/>
      <c r="J19" s="206" t="n">
        <f aca="false">+G19-E19</f>
        <v>90909.0909090909</v>
      </c>
      <c r="L19" s="233" t="n">
        <f aca="false">IF($C$6&gt;=8,E19,($C$1/$C$8)+E19)</f>
        <v>111472.727272727</v>
      </c>
      <c r="M19" s="233" t="n">
        <f aca="false">B19*E$2</f>
        <v>17575.7575757576</v>
      </c>
      <c r="N19" s="234" t="n">
        <f aca="false">M19*C$3</f>
        <v>2987.87878787879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2545454.54545455</v>
      </c>
      <c r="C20" s="232" t="n">
        <f aca="false">+IF(M20&gt;=0,M20,0)</f>
        <v>16969.696969697</v>
      </c>
      <c r="D20" s="232" t="n">
        <f aca="false">+IF(N20&gt;=0,N20,0)</f>
        <v>2884.84848484849</v>
      </c>
      <c r="E20" s="232" t="n">
        <f aca="false">+C20+D20</f>
        <v>19854.5454545455</v>
      </c>
      <c r="F20" s="232" t="n">
        <f aca="false">+IF(C20&gt;1,J20,0)</f>
        <v>90909.0909090909</v>
      </c>
      <c r="G20" s="232" t="n">
        <f aca="false">+IF(E20&gt;1,L20,0)</f>
        <v>110763.636363636</v>
      </c>
      <c r="H20" s="232" t="n">
        <f aca="false">IF(F20&lt;=0,0,$L$50)</f>
        <v>105090.909090909</v>
      </c>
      <c r="I20" s="168"/>
      <c r="J20" s="206" t="n">
        <f aca="false">+G20-E20</f>
        <v>90909.0909090909</v>
      </c>
      <c r="L20" s="233" t="n">
        <f aca="false">IF($C$6&gt;=9,E20,($C$1/$C$8)+E20)</f>
        <v>110763.636363636</v>
      </c>
      <c r="M20" s="233" t="n">
        <f aca="false">B20*E$2</f>
        <v>16969.696969697</v>
      </c>
      <c r="N20" s="234" t="n">
        <f aca="false">M20*C$3</f>
        <v>2884.84848484849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2454545.45454546</v>
      </c>
      <c r="C21" s="232" t="n">
        <f aca="false">+IF(M21&gt;=0,M21,0)</f>
        <v>16363.6363636364</v>
      </c>
      <c r="D21" s="232" t="n">
        <f aca="false">+IF(N21&gt;=0,N21,0)</f>
        <v>2781.81818181818</v>
      </c>
      <c r="E21" s="232" t="n">
        <f aca="false">+C21+D21</f>
        <v>19145.4545454546</v>
      </c>
      <c r="F21" s="232" t="n">
        <f aca="false">+IF(C21&gt;1,J21,0)</f>
        <v>90909.0909090909</v>
      </c>
      <c r="G21" s="232" t="n">
        <f aca="false">+IF(E21&gt;1,L21,0)</f>
        <v>110054.545454545</v>
      </c>
      <c r="H21" s="232" t="n">
        <f aca="false">IF(F21&lt;=0,0,$L$50)</f>
        <v>105090.909090909</v>
      </c>
      <c r="I21" s="168"/>
      <c r="J21" s="206" t="n">
        <f aca="false">+G21-E21</f>
        <v>90909.0909090909</v>
      </c>
      <c r="L21" s="233" t="n">
        <f aca="false">IF($C$6&gt;=10,E21,($C$1/$C$8)+E21)</f>
        <v>110054.545454545</v>
      </c>
      <c r="M21" s="233" t="n">
        <f aca="false">B21*E$2</f>
        <v>16363.6363636364</v>
      </c>
      <c r="N21" s="234" t="n">
        <f aca="false">M21*C$3</f>
        <v>2781.81818181818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2363636.36363636</v>
      </c>
      <c r="C22" s="232" t="n">
        <f aca="false">+IF(M22&gt;=0,M22,0)</f>
        <v>15757.5757575758</v>
      </c>
      <c r="D22" s="232" t="n">
        <f aca="false">+IF(N22&gt;=0,N22,0)</f>
        <v>2678.78787878788</v>
      </c>
      <c r="E22" s="232" t="n">
        <f aca="false">+C22+D22</f>
        <v>18436.3636363636</v>
      </c>
      <c r="F22" s="232" t="n">
        <f aca="false">+IF(C22&gt;1,J22,0)</f>
        <v>90909.0909090909</v>
      </c>
      <c r="G22" s="232" t="n">
        <f aca="false">+IF(E22&gt;1,L22,0)</f>
        <v>109345.454545455</v>
      </c>
      <c r="H22" s="232" t="n">
        <f aca="false">IF(F22&lt;=0,0,$L$50)</f>
        <v>105090.909090909</v>
      </c>
      <c r="I22" s="168"/>
      <c r="J22" s="206" t="n">
        <f aca="false">+G22-E22</f>
        <v>90909.0909090909</v>
      </c>
      <c r="L22" s="233" t="n">
        <f aca="false">IF($C$6&gt;=11,E22,($C$1/$C$8)+E22)</f>
        <v>109345.454545455</v>
      </c>
      <c r="M22" s="233" t="n">
        <f aca="false">B22*E$2</f>
        <v>15757.5757575758</v>
      </c>
      <c r="N22" s="234" t="n">
        <f aca="false">M22*C$3</f>
        <v>2678.78787878788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2272727.27272727</v>
      </c>
      <c r="C23" s="236" t="n">
        <f aca="false">+IF(M23&gt;=0,M23,0)</f>
        <v>15151.5151515152</v>
      </c>
      <c r="D23" s="236" t="n">
        <f aca="false">+IF(N23&gt;=0,N23,0)</f>
        <v>2575.75757575758</v>
      </c>
      <c r="E23" s="236" t="n">
        <f aca="false">+C23+D23</f>
        <v>17727.2727272727</v>
      </c>
      <c r="F23" s="236" t="n">
        <f aca="false">+IF(C23&gt;1,J23,0)</f>
        <v>90909.0909090909</v>
      </c>
      <c r="G23" s="236" t="n">
        <f aca="false">+IF(E23&gt;1,L23,0)</f>
        <v>108636.363636364</v>
      </c>
      <c r="H23" s="236" t="n">
        <f aca="false">IF(F23&lt;=0,0,$L$50)</f>
        <v>105090.909090909</v>
      </c>
      <c r="I23" s="168"/>
      <c r="J23" s="206" t="n">
        <f aca="false">+G23-E23</f>
        <v>90909.0909090909</v>
      </c>
      <c r="L23" s="237" t="n">
        <f aca="false">IF($C$6&gt;=12,E23,($C$1/$C$8)+E23)</f>
        <v>108636.363636364</v>
      </c>
      <c r="M23" s="237" t="n">
        <f aca="false">B23*E$2</f>
        <v>15151.5151515152</v>
      </c>
      <c r="N23" s="237" t="n">
        <f aca="false">M23*C$3</f>
        <v>2575.75757575758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2181818.18181818</v>
      </c>
      <c r="C24" s="232" t="n">
        <f aca="false">+IF(M24&gt;=0,M24,0)</f>
        <v>14545.4545454546</v>
      </c>
      <c r="D24" s="232" t="n">
        <f aca="false">+IF(N24&gt;=0,N24,0)</f>
        <v>2472.72727272727</v>
      </c>
      <c r="E24" s="232" t="n">
        <f aca="false">+C24+D24</f>
        <v>17018.1818181818</v>
      </c>
      <c r="F24" s="232" t="n">
        <f aca="false">+IF(C24&gt;1,J24,0)</f>
        <v>90909.0909090909</v>
      </c>
      <c r="G24" s="232" t="n">
        <f aca="false">+IF(E24&gt;1,L24,0)</f>
        <v>107927.272727273</v>
      </c>
      <c r="H24" s="232" t="n">
        <f aca="false">IF(F24&lt;=0,0,$L$50)</f>
        <v>105090.909090909</v>
      </c>
      <c r="I24" s="168"/>
      <c r="J24" s="206" t="n">
        <f aca="false">+G24-E24</f>
        <v>90909.0909090909</v>
      </c>
      <c r="L24" s="233" t="n">
        <f aca="false">IF($C$6&gt;=13,E24,($C$1/$C$8)+E24)</f>
        <v>107927.272727273</v>
      </c>
      <c r="M24" s="233" t="n">
        <f aca="false">B24*E$2</f>
        <v>14545.4545454546</v>
      </c>
      <c r="N24" s="234" t="n">
        <f aca="false">M24*C$3</f>
        <v>2472.72727272727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2090909.09090909</v>
      </c>
      <c r="C25" s="232" t="n">
        <f aca="false">+IF(M25&gt;=0,M25,0)</f>
        <v>13939.3939393939</v>
      </c>
      <c r="D25" s="232" t="n">
        <f aca="false">+IF(N25&gt;=0,N25,0)</f>
        <v>2369.69696969697</v>
      </c>
      <c r="E25" s="232" t="n">
        <f aca="false">+C25+D25</f>
        <v>16309.0909090909</v>
      </c>
      <c r="F25" s="232" t="n">
        <f aca="false">+IF(C25&gt;1,J25,0)</f>
        <v>90909.0909090909</v>
      </c>
      <c r="G25" s="232" t="n">
        <f aca="false">+IF(E25&gt;1,L25,0)</f>
        <v>107218.181818182</v>
      </c>
      <c r="H25" s="232" t="n">
        <f aca="false">IF(F25&lt;=0,0,$L$50)</f>
        <v>105090.909090909</v>
      </c>
      <c r="I25" s="168"/>
      <c r="J25" s="206" t="n">
        <f aca="false">+G25-E25</f>
        <v>90909.0909090909</v>
      </c>
      <c r="L25" s="233" t="n">
        <f aca="false">IF($C$6&gt;=14,E25,($C$1/$C$8)+E25)</f>
        <v>107218.181818182</v>
      </c>
      <c r="M25" s="233" t="n">
        <f aca="false">B25*E$2</f>
        <v>13939.3939393939</v>
      </c>
      <c r="N25" s="234" t="n">
        <f aca="false">M25*C$3</f>
        <v>2369.69696969697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2000000</v>
      </c>
      <c r="C26" s="232" t="n">
        <f aca="false">+IF(M26&gt;=0,M26,0)</f>
        <v>13333.3333333333</v>
      </c>
      <c r="D26" s="232" t="n">
        <f aca="false">+IF(N26&gt;=0,N26,0)</f>
        <v>2266.66666666667</v>
      </c>
      <c r="E26" s="232" t="n">
        <f aca="false">+C26+D26</f>
        <v>15600</v>
      </c>
      <c r="F26" s="232" t="n">
        <f aca="false">+IF(C26&gt;1,J26,0)</f>
        <v>90909.0909090909</v>
      </c>
      <c r="G26" s="232" t="n">
        <f aca="false">+IF(E26&gt;1,L26,0)</f>
        <v>106509.090909091</v>
      </c>
      <c r="H26" s="232" t="n">
        <f aca="false">IF(F26&lt;=0,0,$L$50)</f>
        <v>105090.909090909</v>
      </c>
      <c r="I26" s="168"/>
      <c r="J26" s="206" t="n">
        <f aca="false">+G26-E26</f>
        <v>90909.0909090909</v>
      </c>
      <c r="L26" s="233" t="n">
        <f aca="false">IF($C$6&gt;=15,E26,($C$1/$C$8)+E26)</f>
        <v>106509.090909091</v>
      </c>
      <c r="M26" s="233" t="n">
        <f aca="false">B26*E$2</f>
        <v>13333.3333333333</v>
      </c>
      <c r="N26" s="234" t="n">
        <f aca="false">M26*C$3</f>
        <v>2266.66666666667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1909090.90909091</v>
      </c>
      <c r="C27" s="232" t="n">
        <f aca="false">+IF(M27&gt;=0,M27,0)</f>
        <v>12727.2727272727</v>
      </c>
      <c r="D27" s="232" t="n">
        <f aca="false">+IF(N27&gt;=0,N27,0)</f>
        <v>2163.63636363637</v>
      </c>
      <c r="E27" s="232" t="n">
        <f aca="false">+C27+D27</f>
        <v>14890.9090909091</v>
      </c>
      <c r="F27" s="232" t="n">
        <f aca="false">+IF(C27&gt;1,J27,0)</f>
        <v>90909.0909090909</v>
      </c>
      <c r="G27" s="232" t="n">
        <f aca="false">+IF(E27&gt;1,L27,0)</f>
        <v>105800</v>
      </c>
      <c r="H27" s="232" t="n">
        <f aca="false">IF(F27&lt;=0,0,$L$50)</f>
        <v>105090.909090909</v>
      </c>
      <c r="I27" s="168"/>
      <c r="J27" s="206" t="n">
        <f aca="false">+G27-E27</f>
        <v>90909.0909090909</v>
      </c>
      <c r="L27" s="233" t="n">
        <f aca="false">IF($C$6&gt;=16,E27,($C$1/$C$8)+E27)</f>
        <v>105800</v>
      </c>
      <c r="M27" s="233" t="n">
        <f aca="false">B27*E$2</f>
        <v>12727.2727272727</v>
      </c>
      <c r="N27" s="234" t="n">
        <f aca="false">M27*C$3</f>
        <v>2163.63636363637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1818181.81818182</v>
      </c>
      <c r="C28" s="232" t="n">
        <f aca="false">+IF(M28&gt;=0,M28,0)</f>
        <v>12121.2121212121</v>
      </c>
      <c r="D28" s="232" t="n">
        <f aca="false">+IF(N28&gt;=0,N28,0)</f>
        <v>2060.60606060606</v>
      </c>
      <c r="E28" s="232" t="n">
        <f aca="false">+C28+D28</f>
        <v>14181.8181818182</v>
      </c>
      <c r="F28" s="232" t="n">
        <f aca="false">+IF(C28&gt;1,J28,0)</f>
        <v>90909.0909090909</v>
      </c>
      <c r="G28" s="232" t="n">
        <f aca="false">+IF(E28&gt;1,L28,0)</f>
        <v>105090.909090909</v>
      </c>
      <c r="H28" s="232" t="n">
        <f aca="false">IF(F28&lt;=0,0,$L$50)</f>
        <v>105090.909090909</v>
      </c>
      <c r="I28" s="168"/>
      <c r="J28" s="206" t="n">
        <f aca="false">+G28-E28</f>
        <v>90909.0909090909</v>
      </c>
      <c r="L28" s="233" t="n">
        <f aca="false">IF($C$6&gt;=17,E28,($C$1/$C$8)+E28)</f>
        <v>105090.909090909</v>
      </c>
      <c r="M28" s="233" t="n">
        <f aca="false">B28*E$2</f>
        <v>12121.2121212121</v>
      </c>
      <c r="N28" s="234" t="n">
        <f aca="false">M28*C$3</f>
        <v>2060.60606060606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1727272.72727273</v>
      </c>
      <c r="C29" s="232" t="n">
        <f aca="false">+IF(M29&gt;=0,M29,0)</f>
        <v>11515.1515151515</v>
      </c>
      <c r="D29" s="232" t="n">
        <f aca="false">+IF(N29&gt;=0,N29,0)</f>
        <v>1957.57575757576</v>
      </c>
      <c r="E29" s="232" t="n">
        <f aca="false">+C29+D29</f>
        <v>13472.7272727273</v>
      </c>
      <c r="F29" s="232" t="n">
        <f aca="false">+IF(C29&gt;1,J29,0)</f>
        <v>90909.0909090909</v>
      </c>
      <c r="G29" s="232" t="n">
        <f aca="false">+IF(E29&gt;1,L29,0)</f>
        <v>104381.818181818</v>
      </c>
      <c r="H29" s="232" t="n">
        <f aca="false">IF(F29&lt;=0,0,$L$50)</f>
        <v>105090.909090909</v>
      </c>
      <c r="I29" s="168"/>
      <c r="J29" s="206" t="n">
        <f aca="false">+G29-E29</f>
        <v>90909.0909090909</v>
      </c>
      <c r="L29" s="233" t="n">
        <f aca="false">IF($C$6&gt;=18,E29,($C$1/$C$8)+E29)</f>
        <v>104381.818181818</v>
      </c>
      <c r="M29" s="233" t="n">
        <f aca="false">B29*E$2</f>
        <v>11515.1515151515</v>
      </c>
      <c r="N29" s="234" t="n">
        <f aca="false">M29*C$3</f>
        <v>1957.57575757576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1636363.63636364</v>
      </c>
      <c r="C30" s="232" t="n">
        <f aca="false">+IF(M30&gt;=0,M30,0)</f>
        <v>10909.0909090909</v>
      </c>
      <c r="D30" s="232" t="n">
        <f aca="false">+IF(N30&gt;=0,N30,0)</f>
        <v>1854.54545454546</v>
      </c>
      <c r="E30" s="232" t="n">
        <f aca="false">+C30+D30</f>
        <v>12763.6363636364</v>
      </c>
      <c r="F30" s="232" t="n">
        <f aca="false">+IF(C30&gt;1,J30,0)</f>
        <v>90909.0909090909</v>
      </c>
      <c r="G30" s="232" t="n">
        <f aca="false">+IF(E30&gt;1,L30,0)</f>
        <v>103672.727272727</v>
      </c>
      <c r="H30" s="232" t="n">
        <f aca="false">IF(F30&lt;=0,0,$L$50)</f>
        <v>105090.909090909</v>
      </c>
      <c r="I30" s="168"/>
      <c r="J30" s="206" t="n">
        <f aca="false">+G30-E30</f>
        <v>90909.0909090909</v>
      </c>
      <c r="L30" s="233" t="n">
        <f aca="false">IF($C$6&gt;=19,E30,($C$1/$C$8)+E30)</f>
        <v>103672.727272727</v>
      </c>
      <c r="M30" s="233" t="n">
        <f aca="false">B30*E$2</f>
        <v>10909.0909090909</v>
      </c>
      <c r="N30" s="234" t="n">
        <f aca="false">M30*C$3</f>
        <v>1854.54545454546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1545454.54545455</v>
      </c>
      <c r="C31" s="232" t="n">
        <f aca="false">+IF(M31&gt;=0,M31,0)</f>
        <v>10303.0303030303</v>
      </c>
      <c r="D31" s="232" t="n">
        <f aca="false">+IF(N31&gt;=0,N31,0)</f>
        <v>1751.51515151515</v>
      </c>
      <c r="E31" s="232" t="n">
        <f aca="false">+C31+D31</f>
        <v>12054.5454545455</v>
      </c>
      <c r="F31" s="232" t="n">
        <f aca="false">+IF(C31&gt;1,J31,0)</f>
        <v>90909.0909090909</v>
      </c>
      <c r="G31" s="232" t="n">
        <f aca="false">+IF(E31&gt;1,L31,0)</f>
        <v>102963.636363636</v>
      </c>
      <c r="H31" s="232" t="n">
        <f aca="false">IF(F31&lt;=0,0,$L$50)</f>
        <v>105090.909090909</v>
      </c>
      <c r="I31" s="168"/>
      <c r="J31" s="206" t="n">
        <f aca="false">+G31-E31</f>
        <v>90909.0909090909</v>
      </c>
      <c r="L31" s="233" t="n">
        <f aca="false">IF($C$6&gt;=20,E31,($C$1/$C$8)+E31)</f>
        <v>102963.636363636</v>
      </c>
      <c r="M31" s="233" t="n">
        <f aca="false">B31*E$2</f>
        <v>10303.0303030303</v>
      </c>
      <c r="N31" s="234" t="n">
        <f aca="false">M31*C$3</f>
        <v>1751.51515151515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1454545.45454546</v>
      </c>
      <c r="C32" s="232" t="n">
        <f aca="false">+IF(M32&gt;=0,M32,0)</f>
        <v>9696.96969696971</v>
      </c>
      <c r="D32" s="232" t="n">
        <f aca="false">+IF(N32&gt;=0,N32,0)</f>
        <v>1648.48484848485</v>
      </c>
      <c r="E32" s="232" t="n">
        <f aca="false">+C32+D32</f>
        <v>11345.4545454546</v>
      </c>
      <c r="F32" s="232" t="n">
        <f aca="false">+IF(C32&gt;1,J32,0)</f>
        <v>90909.0909090909</v>
      </c>
      <c r="G32" s="232" t="n">
        <f aca="false">+IF(E32&gt;1,L32,0)</f>
        <v>102254.545454545</v>
      </c>
      <c r="H32" s="232" t="n">
        <f aca="false">IF(F32&lt;=0,0,$L$50)</f>
        <v>105090.909090909</v>
      </c>
      <c r="I32" s="168"/>
      <c r="J32" s="206" t="n">
        <f aca="false">+G32-E32</f>
        <v>90909.0909090909</v>
      </c>
      <c r="L32" s="233" t="n">
        <f aca="false">IF($C$6&gt;=21,E32,($C$1/$C$8)+E32)</f>
        <v>102254.545454545</v>
      </c>
      <c r="M32" s="233" t="n">
        <f aca="false">B32*E$2</f>
        <v>9696.96969696971</v>
      </c>
      <c r="N32" s="234" t="n">
        <f aca="false">M32*C$3</f>
        <v>1648.48484848485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1363636.36363637</v>
      </c>
      <c r="C33" s="232" t="n">
        <f aca="false">+IF(M33&gt;=0,M33,0)</f>
        <v>9090.9090909091</v>
      </c>
      <c r="D33" s="232" t="n">
        <f aca="false">+IF(N33&gt;=0,N33,0)</f>
        <v>1545.45454545455</v>
      </c>
      <c r="E33" s="232" t="n">
        <f aca="false">+C33+D33</f>
        <v>10636.3636363636</v>
      </c>
      <c r="F33" s="232" t="n">
        <f aca="false">+IF(C33&gt;1,J33,0)</f>
        <v>90909.0909090909</v>
      </c>
      <c r="G33" s="232" t="n">
        <f aca="false">+IF(E33&gt;1,L33,0)</f>
        <v>101545.454545455</v>
      </c>
      <c r="H33" s="232" t="n">
        <f aca="false">IF(F33&lt;=0,0,$L$50)</f>
        <v>105090.909090909</v>
      </c>
      <c r="I33" s="168"/>
      <c r="J33" s="206" t="n">
        <f aca="false">+G33-E33</f>
        <v>90909.0909090909</v>
      </c>
      <c r="L33" s="233" t="n">
        <f aca="false">IF($C$6&gt;=22,E33,($C$1/$C$8)+E33)</f>
        <v>101545.454545455</v>
      </c>
      <c r="M33" s="233" t="n">
        <f aca="false">B33*E$2</f>
        <v>9090.9090909091</v>
      </c>
      <c r="N33" s="234" t="n">
        <f aca="false">M33*C$3</f>
        <v>1545.45454545455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1272727.27272727</v>
      </c>
      <c r="C34" s="232" t="n">
        <f aca="false">+IF(M34&gt;=0,M34,0)</f>
        <v>8484.8484848485</v>
      </c>
      <c r="D34" s="232" t="n">
        <f aca="false">+IF(N34&gt;=0,N34,0)</f>
        <v>1442.42424242424</v>
      </c>
      <c r="E34" s="232" t="n">
        <f aca="false">+C34+D34</f>
        <v>9927.27272727274</v>
      </c>
      <c r="F34" s="232" t="n">
        <f aca="false">+IF(C34&gt;1,J34,0)</f>
        <v>90909.0909090909</v>
      </c>
      <c r="G34" s="232" t="n">
        <f aca="false">+IF(E34&gt;1,L34,0)</f>
        <v>100836.363636364</v>
      </c>
      <c r="H34" s="232" t="n">
        <f aca="false">IF(F34&lt;=0,0,$L$50)</f>
        <v>105090.909090909</v>
      </c>
      <c r="I34" s="168"/>
      <c r="J34" s="206" t="n">
        <f aca="false">+G34-E34</f>
        <v>90909.0909090909</v>
      </c>
      <c r="L34" s="233" t="n">
        <f aca="false">IF($C$6&gt;=23,E34,($C$1/$C$8)+E34)</f>
        <v>100836.363636364</v>
      </c>
      <c r="M34" s="233" t="n">
        <f aca="false">B34*E$2</f>
        <v>8484.8484848485</v>
      </c>
      <c r="N34" s="234" t="n">
        <f aca="false">M34*C$3</f>
        <v>1442.42424242424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1181818.18181818</v>
      </c>
      <c r="C35" s="236" t="n">
        <f aca="false">+IF(M35&gt;=0,M35,0)</f>
        <v>7878.78787878789</v>
      </c>
      <c r="D35" s="236" t="n">
        <f aca="false">+IF(N35&gt;=0,N35,0)</f>
        <v>1339.39393939394</v>
      </c>
      <c r="E35" s="236" t="n">
        <f aca="false">+C35+D35</f>
        <v>9218.18181818183</v>
      </c>
      <c r="F35" s="236" t="n">
        <f aca="false">+IF(C35&gt;1,J35,0)</f>
        <v>90909.0909090909</v>
      </c>
      <c r="G35" s="236" t="n">
        <f aca="false">+IF(E35&gt;1,L35,0)</f>
        <v>100127.272727273</v>
      </c>
      <c r="H35" s="236" t="n">
        <f aca="false">IF(F35&lt;=0,0,$L$50)</f>
        <v>105090.909090909</v>
      </c>
      <c r="I35" s="168"/>
      <c r="J35" s="206" t="n">
        <f aca="false">+G35-E35</f>
        <v>90909.0909090909</v>
      </c>
      <c r="L35" s="237" t="n">
        <f aca="false">IF($C$6&gt;=24,E35,($C$1/$C$8)+E35)</f>
        <v>100127.272727273</v>
      </c>
      <c r="M35" s="237" t="n">
        <f aca="false">B35*E$2</f>
        <v>7878.78787878789</v>
      </c>
      <c r="N35" s="237" t="n">
        <f aca="false">M35*C$3</f>
        <v>1339.39393939394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1090909.09090909</v>
      </c>
      <c r="C36" s="232" t="n">
        <f aca="false">+IF(M36&gt;=0,M36,0)</f>
        <v>7272.72727272729</v>
      </c>
      <c r="D36" s="232" t="n">
        <f aca="false">+IF(N36&gt;=0,N36,0)</f>
        <v>1236.36363636364</v>
      </c>
      <c r="E36" s="232" t="n">
        <f aca="false">+C36+D36</f>
        <v>8509.09090909092</v>
      </c>
      <c r="F36" s="232" t="n">
        <f aca="false">+IF(C36&gt;1,J36,0)</f>
        <v>90909.0909090909</v>
      </c>
      <c r="G36" s="232" t="n">
        <f aca="false">+IF(E36&gt;1,L36,0)</f>
        <v>99418.1818181818</v>
      </c>
      <c r="H36" s="232" t="n">
        <f aca="false">IF(F36&lt;=0,0,$L$50)</f>
        <v>105090.909090909</v>
      </c>
      <c r="I36" s="168"/>
      <c r="J36" s="206" t="n">
        <f aca="false">+G36-E36</f>
        <v>90909.0909090909</v>
      </c>
      <c r="L36" s="233" t="n">
        <f aca="false">IF($C$6&gt;=25,E36,($C$1/$C$8)+E36)</f>
        <v>99418.1818181818</v>
      </c>
      <c r="M36" s="233" t="n">
        <f aca="false">B36*E$2</f>
        <v>7272.72727272729</v>
      </c>
      <c r="N36" s="234" t="n">
        <f aca="false">M36*C$3</f>
        <v>1236.36363636364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1000000</v>
      </c>
      <c r="C37" s="232" t="n">
        <f aca="false">+IF(M37&gt;=0,M37,0)</f>
        <v>6666.66666666668</v>
      </c>
      <c r="D37" s="232" t="n">
        <f aca="false">+IF(N37&gt;=0,N37,0)</f>
        <v>1133.33333333334</v>
      </c>
      <c r="E37" s="232" t="n">
        <f aca="false">+C37+D37</f>
        <v>7800.00000000002</v>
      </c>
      <c r="F37" s="232" t="n">
        <f aca="false">+IF(C37&gt;1,J37,0)</f>
        <v>90909.0909090909</v>
      </c>
      <c r="G37" s="232" t="n">
        <f aca="false">+IF(E37&gt;1,L37,0)</f>
        <v>98709.0909090909</v>
      </c>
      <c r="H37" s="232" t="n">
        <f aca="false">IF(F37&lt;=0,0,$L$50)</f>
        <v>105090.909090909</v>
      </c>
      <c r="I37" s="168"/>
      <c r="J37" s="206" t="n">
        <f aca="false">+G37-E37</f>
        <v>90909.0909090909</v>
      </c>
      <c r="L37" s="233" t="n">
        <f aca="false">IF($C$6&gt;=26,E37,($C$1/$C$8)+E37)</f>
        <v>98709.0909090909</v>
      </c>
      <c r="M37" s="233" t="n">
        <f aca="false">B37*E$2</f>
        <v>6666.66666666668</v>
      </c>
      <c r="N37" s="234" t="n">
        <f aca="false">M37*C$3</f>
        <v>1133.33333333334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909090.909090911</v>
      </c>
      <c r="C38" s="232" t="n">
        <f aca="false">+IF(M38&gt;=0,M38,0)</f>
        <v>6060.60606060607</v>
      </c>
      <c r="D38" s="232" t="n">
        <f aca="false">+IF(N38&gt;=0,N38,0)</f>
        <v>1030.30303030303</v>
      </c>
      <c r="E38" s="232" t="n">
        <f aca="false">+C38+D38</f>
        <v>7090.90909090911</v>
      </c>
      <c r="F38" s="232" t="n">
        <f aca="false">+IF(C38&gt;1,J38,0)</f>
        <v>90909.0909090909</v>
      </c>
      <c r="G38" s="232" t="n">
        <f aca="false">+IF(E38&gt;1,L38,0)</f>
        <v>98000</v>
      </c>
      <c r="H38" s="232" t="n">
        <f aca="false">IF(F38&lt;=0,0,$L$50)</f>
        <v>105090.909090909</v>
      </c>
      <c r="I38" s="168"/>
      <c r="J38" s="206" t="n">
        <f aca="false">+G38-E38</f>
        <v>90909.0909090909</v>
      </c>
      <c r="L38" s="233" t="n">
        <f aca="false">IF($C$6&gt;=27,E38,($C$1/$C$8)+E38)</f>
        <v>98000</v>
      </c>
      <c r="M38" s="233" t="n">
        <f aca="false">B38*E$2</f>
        <v>6060.60606060607</v>
      </c>
      <c r="N38" s="234" t="n">
        <f aca="false">M38*C$3</f>
        <v>1030.30303030303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818181.81818182</v>
      </c>
      <c r="C39" s="232" t="n">
        <f aca="false">+IF(M39&gt;=0,M39,0)</f>
        <v>5454.54545454547</v>
      </c>
      <c r="D39" s="232" t="n">
        <f aca="false">+IF(N39&gt;=0,N39,0)</f>
        <v>927.272727272729</v>
      </c>
      <c r="E39" s="232" t="n">
        <f aca="false">+C39+D39</f>
        <v>6381.8181818182</v>
      </c>
      <c r="F39" s="232" t="n">
        <f aca="false">+IF(C39&gt;1,J39,0)</f>
        <v>90909.0909090909</v>
      </c>
      <c r="G39" s="232" t="n">
        <f aca="false">+IF(E39&gt;1,L39,0)</f>
        <v>97290.9090909091</v>
      </c>
      <c r="H39" s="232" t="n">
        <f aca="false">IF(F39&lt;=0,0,$L$50)</f>
        <v>105090.909090909</v>
      </c>
      <c r="I39" s="168"/>
      <c r="J39" s="206" t="n">
        <f aca="false">+G39-E39</f>
        <v>90909.0909090909</v>
      </c>
      <c r="L39" s="233" t="n">
        <f aca="false">IF($C$6&gt;=28,E39,($C$1/$C$8)+E39)</f>
        <v>97290.9090909091</v>
      </c>
      <c r="M39" s="233" t="n">
        <f aca="false">B39*E$2</f>
        <v>5454.54545454547</v>
      </c>
      <c r="N39" s="234" t="n">
        <f aca="false">M39*C$3</f>
        <v>927.272727272729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727272.727272729</v>
      </c>
      <c r="C40" s="232" t="n">
        <f aca="false">+IF(M40&gt;=0,M40,0)</f>
        <v>4848.48484848486</v>
      </c>
      <c r="D40" s="232" t="n">
        <f aca="false">+IF(N40&gt;=0,N40,0)</f>
        <v>824.242424242426</v>
      </c>
      <c r="E40" s="232" t="n">
        <f aca="false">+C40+D40</f>
        <v>5672.72727272729</v>
      </c>
      <c r="F40" s="232" t="n">
        <f aca="false">+IF(C40&gt;1,J40,0)</f>
        <v>90909.0909090909</v>
      </c>
      <c r="G40" s="232" t="n">
        <f aca="false">+IF(E40&gt;1,L40,0)</f>
        <v>96581.8181818182</v>
      </c>
      <c r="H40" s="232" t="n">
        <f aca="false">IF(F40&lt;=0,0,$L$50)</f>
        <v>105090.909090909</v>
      </c>
      <c r="I40" s="168"/>
      <c r="J40" s="206" t="n">
        <f aca="false">+G40-E40</f>
        <v>90909.0909090909</v>
      </c>
      <c r="L40" s="233" t="n">
        <f aca="false">IF($C$6&gt;=29,E40,($C$1/$C$8)+E40)</f>
        <v>96581.8181818182</v>
      </c>
      <c r="M40" s="233" t="n">
        <f aca="false">B40*E$2</f>
        <v>4848.48484848486</v>
      </c>
      <c r="N40" s="234" t="n">
        <f aca="false">M40*C$3</f>
        <v>824.242424242426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636363.636363638</v>
      </c>
      <c r="C41" s="232" t="n">
        <f aca="false">+IF(M41&gt;=0,M41,0)</f>
        <v>4242.42424242425</v>
      </c>
      <c r="D41" s="232" t="n">
        <f aca="false">+IF(N41&gt;=0,N41,0)</f>
        <v>721.212121212123</v>
      </c>
      <c r="E41" s="232" t="n">
        <f aca="false">+C41+D41</f>
        <v>4963.63636363638</v>
      </c>
      <c r="F41" s="232" t="n">
        <f aca="false">+IF(C41&gt;1,J41,0)</f>
        <v>90909.0909090909</v>
      </c>
      <c r="G41" s="232" t="n">
        <f aca="false">+IF(E41&gt;1,L41,0)</f>
        <v>95872.7272727273</v>
      </c>
      <c r="H41" s="232" t="n">
        <f aca="false">IF(F41&lt;=0,0,$L$50)</f>
        <v>105090.909090909</v>
      </c>
      <c r="I41" s="168"/>
      <c r="J41" s="206" t="n">
        <f aca="false">+G41-E41</f>
        <v>90909.0909090909</v>
      </c>
      <c r="L41" s="233" t="n">
        <f aca="false">IF($C$6&gt;=30,E41,($C$1/$C$8)+E41)</f>
        <v>95872.7272727273</v>
      </c>
      <c r="M41" s="233" t="n">
        <f aca="false">B41*E$2</f>
        <v>4242.42424242425</v>
      </c>
      <c r="N41" s="234" t="n">
        <f aca="false">M41*C$3</f>
        <v>721.212121212123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545454.545454547</v>
      </c>
      <c r="C42" s="232" t="n">
        <f aca="false">+IF(M42&gt;=0,M42,0)</f>
        <v>3636.36363636365</v>
      </c>
      <c r="D42" s="232" t="n">
        <f aca="false">+IF(N42&gt;=0,N42,0)</f>
        <v>618.18181818182</v>
      </c>
      <c r="E42" s="232" t="n">
        <f aca="false">+C42+D42</f>
        <v>4254.54545454547</v>
      </c>
      <c r="F42" s="232" t="n">
        <f aca="false">+IF(C42&gt;1,J42,0)</f>
        <v>90909.0909090909</v>
      </c>
      <c r="G42" s="232" t="n">
        <f aca="false">+IF(E42&gt;1,L42,0)</f>
        <v>95163.6363636364</v>
      </c>
      <c r="H42" s="232" t="n">
        <f aca="false">IF(F42&lt;=0,0,$L$50)</f>
        <v>105090.909090909</v>
      </c>
      <c r="I42" s="168"/>
      <c r="J42" s="206" t="n">
        <f aca="false">+G42-E42</f>
        <v>90909.0909090909</v>
      </c>
      <c r="L42" s="233" t="n">
        <f aca="false">IF($C$6&gt;=31,E42,($C$1/$C$8)+E42)</f>
        <v>95163.6363636364</v>
      </c>
      <c r="M42" s="233" t="n">
        <f aca="false">B42*E$2</f>
        <v>3636.36363636365</v>
      </c>
      <c r="N42" s="234" t="n">
        <f aca="false">M42*C$3</f>
        <v>618.18181818182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454545.454545456</v>
      </c>
      <c r="C43" s="232" t="n">
        <f aca="false">+IF(M43&gt;=0,M43,0)</f>
        <v>3030.30303030304</v>
      </c>
      <c r="D43" s="232" t="n">
        <f aca="false">+IF(N43&gt;=0,N43,0)</f>
        <v>515.151515151517</v>
      </c>
      <c r="E43" s="232" t="n">
        <f aca="false">+C43+D43</f>
        <v>3545.45454545456</v>
      </c>
      <c r="F43" s="232" t="n">
        <f aca="false">+IF(C43&gt;1,J43,0)</f>
        <v>90909.0909090909</v>
      </c>
      <c r="G43" s="232" t="n">
        <f aca="false">+IF(E43&gt;1,L43,0)</f>
        <v>94454.5454545455</v>
      </c>
      <c r="H43" s="232" t="n">
        <f aca="false">IF(F43&lt;=0,0,$L$50)</f>
        <v>105090.909090909</v>
      </c>
      <c r="I43" s="168"/>
      <c r="J43" s="206" t="n">
        <f aca="false">+G43-E43</f>
        <v>90909.0909090909</v>
      </c>
      <c r="L43" s="233" t="n">
        <f aca="false">IF($C$6&gt;=32,E43,($C$1/$C$8)+E43)</f>
        <v>94454.5454545455</v>
      </c>
      <c r="M43" s="233" t="n">
        <f aca="false">B43*E$2</f>
        <v>3030.30303030304</v>
      </c>
      <c r="N43" s="234" t="n">
        <f aca="false">M43*C$3</f>
        <v>515.151515151517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363636.363636365</v>
      </c>
      <c r="C44" s="232" t="n">
        <f aca="false">+IF(M44&gt;=0,M44,0)</f>
        <v>2424.24242424243</v>
      </c>
      <c r="D44" s="232" t="n">
        <f aca="false">+IF(N44&gt;=0,N44,0)</f>
        <v>412.121212121214</v>
      </c>
      <c r="E44" s="232" t="n">
        <f aca="false">+C44+D44</f>
        <v>2836.36363636365</v>
      </c>
      <c r="F44" s="232" t="n">
        <f aca="false">+IF(C44&gt;1,J44,0)</f>
        <v>90909.0909090909</v>
      </c>
      <c r="G44" s="232" t="n">
        <f aca="false">+IF(E44&gt;1,L44,0)</f>
        <v>93745.4545454546</v>
      </c>
      <c r="H44" s="232" t="n">
        <f aca="false">IF(F44&lt;=0,0,$L$50)</f>
        <v>105090.909090909</v>
      </c>
      <c r="I44" s="168"/>
      <c r="J44" s="206" t="n">
        <f aca="false">+G44-E44</f>
        <v>90909.0909090909</v>
      </c>
      <c r="L44" s="233" t="n">
        <f aca="false">IF($C$6&gt;=33,E44,($C$1/$C$8)+E44)</f>
        <v>93745.4545454546</v>
      </c>
      <c r="M44" s="233" t="n">
        <f aca="false">B44*E$2</f>
        <v>2424.24242424243</v>
      </c>
      <c r="N44" s="234" t="n">
        <f aca="false">M44*C$3</f>
        <v>412.121212121214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272727.272727274</v>
      </c>
      <c r="C45" s="232" t="n">
        <f aca="false">+IF(M45&gt;=0,M45,0)</f>
        <v>1818.18181818183</v>
      </c>
      <c r="D45" s="232" t="n">
        <f aca="false">+IF(N45&gt;=0,N45,0)</f>
        <v>309.090909090911</v>
      </c>
      <c r="E45" s="232" t="n">
        <f aca="false">+C45+D45</f>
        <v>2127.27272727274</v>
      </c>
      <c r="F45" s="232" t="n">
        <f aca="false">+IF(C45&gt;1,J45,0)</f>
        <v>90909.0909090909</v>
      </c>
      <c r="G45" s="232" t="n">
        <f aca="false">+IF(E45&gt;1,L45,0)</f>
        <v>93036.3636363637</v>
      </c>
      <c r="H45" s="232" t="n">
        <f aca="false">IF(F45&lt;=0,0,$L$50)</f>
        <v>105090.909090909</v>
      </c>
      <c r="I45" s="168"/>
      <c r="J45" s="206" t="n">
        <f aca="false">+G45-E45</f>
        <v>90909.0909090909</v>
      </c>
      <c r="L45" s="233" t="n">
        <f aca="false">IF($C$6&gt;=34,E45,($C$1/$C$8)+E45)</f>
        <v>93036.3636363637</v>
      </c>
      <c r="M45" s="233" t="n">
        <f aca="false">B45*E$2</f>
        <v>1818.18181818183</v>
      </c>
      <c r="N45" s="234" t="n">
        <f aca="false">M45*C$3</f>
        <v>309.090909090911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181818.181818183</v>
      </c>
      <c r="C46" s="232" t="n">
        <f aca="false">+IF(M46&gt;=0,M46,0)</f>
        <v>1212.12121212122</v>
      </c>
      <c r="D46" s="232" t="n">
        <f aca="false">+IF(N46&gt;=0,N46,0)</f>
        <v>206.060606060608</v>
      </c>
      <c r="E46" s="232" t="n">
        <f aca="false">+C46+D46</f>
        <v>1418.18181818183</v>
      </c>
      <c r="F46" s="232" t="n">
        <f aca="false">+IF(C46&gt;1,J46,0)</f>
        <v>90909.0909090909</v>
      </c>
      <c r="G46" s="232" t="n">
        <f aca="false">+IF(E46&gt;1,L46,0)</f>
        <v>92327.2727272727</v>
      </c>
      <c r="H46" s="232" t="n">
        <f aca="false">IF(F46&lt;=0,0,$L$50)</f>
        <v>105090.909090909</v>
      </c>
      <c r="I46" s="168"/>
      <c r="J46" s="206" t="n">
        <f aca="false">+G46-E46</f>
        <v>90909.0909090909</v>
      </c>
      <c r="L46" s="233" t="n">
        <f aca="false">IF($C$6&gt;=35,E46,($C$1/$C$8)+E46)</f>
        <v>92327.2727272727</v>
      </c>
      <c r="M46" s="233" t="n">
        <f aca="false">B46*E$2</f>
        <v>1212.12121212122</v>
      </c>
      <c r="N46" s="234" t="n">
        <f aca="false">M46*C$3</f>
        <v>206.060606060608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90909.0909090924</v>
      </c>
      <c r="C47" s="236" t="n">
        <f aca="false">+IF(M47&gt;=0,M47,0)</f>
        <v>606.060606060616</v>
      </c>
      <c r="D47" s="236" t="n">
        <f aca="false">+IF(N47&gt;=0,N47,0)</f>
        <v>103.030303030305</v>
      </c>
      <c r="E47" s="236" t="n">
        <f aca="false">+C47+D47</f>
        <v>709.090909090921</v>
      </c>
      <c r="F47" s="236" t="n">
        <f aca="false">+IF(C47&gt;1,J47,0)</f>
        <v>90909.0909090909</v>
      </c>
      <c r="G47" s="236" t="n">
        <f aca="false">+IF(E47&gt;1,L47,0)</f>
        <v>91618.1818181818</v>
      </c>
      <c r="H47" s="236" t="n">
        <f aca="false">IF(F47&lt;=0,0,$L$50)</f>
        <v>105090.909090909</v>
      </c>
      <c r="I47" s="168"/>
      <c r="J47" s="206" t="n">
        <f aca="false">+G47-E47</f>
        <v>90909.0909090909</v>
      </c>
      <c r="L47" s="237" t="n">
        <f aca="false">IF($C$6&gt;=36,E47,($C$1/$C$8)+E47)</f>
        <v>91618.1818181818</v>
      </c>
      <c r="M47" s="237" t="n">
        <f aca="false">B47*E$2</f>
        <v>606.060606060616</v>
      </c>
      <c r="N47" s="237" t="n">
        <f aca="false">M47*C$3</f>
        <v>103.030303030305</v>
      </c>
    </row>
    <row r="48" customFormat="false" ht="15.75" hidden="false" customHeight="true" outlineLevel="0" collapsed="false">
      <c r="A48" s="238" t="s">
        <v>112</v>
      </c>
      <c r="B48" s="239"/>
      <c r="C48" s="239"/>
      <c r="D48" s="238"/>
      <c r="E48" s="238" t="n">
        <f aca="false">SUM(E12:E47)</f>
        <v>468000</v>
      </c>
      <c r="F48" s="238" t="n">
        <f aca="false">SUM(F12:F47)</f>
        <v>3000000</v>
      </c>
      <c r="G48" s="238" t="n">
        <f aca="false">SUM(G12:G47)</f>
        <v>3468000</v>
      </c>
      <c r="H48" s="238" t="n">
        <f aca="false">SUM(H12:H47)</f>
        <v>3468000</v>
      </c>
      <c r="I48" s="168"/>
      <c r="L48" s="240" t="n">
        <f aca="false">SUM(L12:L47)</f>
        <v>3468000</v>
      </c>
      <c r="M48" s="240" t="n">
        <f aca="false">SUM(M12:M47)</f>
        <v>400000</v>
      </c>
      <c r="N48" s="240" t="n">
        <f aca="false">SUM(N12:N47)</f>
        <v>68000.0000000001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105090.909090909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247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203</v>
      </c>
      <c r="B4" s="76" t="s">
        <v>204</v>
      </c>
      <c r="C4" s="76" t="s">
        <v>205</v>
      </c>
      <c r="D4" s="76" t="s">
        <v>206</v>
      </c>
      <c r="E4" s="76" t="s">
        <v>207</v>
      </c>
      <c r="F4" s="76" t="s">
        <v>208</v>
      </c>
      <c r="G4" s="249"/>
    </row>
    <row r="5" customFormat="false" ht="15.75" hidden="false" customHeight="true" outlineLevel="0" collapsed="false">
      <c r="A5" s="176" t="s">
        <v>201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209</v>
      </c>
      <c r="B6" s="252" t="n">
        <f aca="false">'Eléments du compte d''exploitati'!B12</f>
        <v>7400000</v>
      </c>
      <c r="C6" s="252" t="n">
        <f aca="false">'Eléments du compte d''exploitati'!C12</f>
        <v>7548000</v>
      </c>
      <c r="D6" s="252" t="n">
        <f aca="false">'Eléments du compte d''exploitati'!D12</f>
        <v>7698960</v>
      </c>
      <c r="E6" s="252" t="n">
        <f aca="false">'Eléments du compte d''exploitati'!E12</f>
        <v>7852939.2</v>
      </c>
      <c r="F6" s="252" t="n">
        <f aca="false">'Eléments du compte d''exploitati'!F12</f>
        <v>8009997.984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210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248</v>
      </c>
      <c r="B9" s="255" t="n">
        <f aca="false">+'Eléments du compte d''exploitati'!B24</f>
        <v>1920000</v>
      </c>
      <c r="C9" s="255" t="n">
        <f aca="false">+'Eléments du compte d''exploitati'!C24</f>
        <v>2035200</v>
      </c>
      <c r="D9" s="255" t="n">
        <f aca="false">+'Eléments du compte d''exploitati'!D24</f>
        <v>2198016</v>
      </c>
      <c r="E9" s="255" t="n">
        <f aca="false">+'Eléments du compte d''exploitati'!E24</f>
        <v>2373857.28</v>
      </c>
      <c r="F9" s="255" t="n">
        <f aca="false">+'Eléments du compte d''exploitati'!F24</f>
        <v>2563765.8624</v>
      </c>
      <c r="G9" s="168"/>
    </row>
    <row r="10" customFormat="false" ht="14.25" hidden="false" customHeight="true" outlineLevel="0" collapsed="false">
      <c r="A10" s="195" t="s">
        <v>249</v>
      </c>
      <c r="B10" s="255" t="n">
        <f aca="false">+'Eléments du compte d''exploitati'!B30</f>
        <v>2100000</v>
      </c>
      <c r="C10" s="255" t="n">
        <f aca="false">+'Eléments du compte d''exploitati'!C30</f>
        <v>2205000</v>
      </c>
      <c r="D10" s="255" t="n">
        <f aca="false">+'Eléments du compte d''exploitati'!D30</f>
        <v>2205000</v>
      </c>
      <c r="E10" s="255" t="n">
        <f aca="false">+'Eléments du compte d''exploitati'!E30</f>
        <v>2205000</v>
      </c>
      <c r="F10" s="255" t="n">
        <f aca="false">+'Eléments du compte d''exploitati'!F30</f>
        <v>2205000</v>
      </c>
      <c r="G10" s="168"/>
    </row>
    <row r="11" customFormat="false" ht="28.5" hidden="false" customHeight="true" outlineLevel="0" collapsed="false">
      <c r="A11" s="256" t="s">
        <v>250</v>
      </c>
      <c r="B11" s="255" t="n">
        <f aca="false">+'Eléments du compte d''exploitati'!B49</f>
        <v>450000</v>
      </c>
      <c r="C11" s="255" t="n">
        <f aca="false">+'Eléments du compte d''exploitati'!C49</f>
        <v>472500</v>
      </c>
      <c r="D11" s="255" t="n">
        <f aca="false">+'Eléments du compte d''exploitati'!D49</f>
        <v>472500</v>
      </c>
      <c r="E11" s="255" t="n">
        <f aca="false">+'Eléments du compte d''exploitati'!E49</f>
        <v>472500</v>
      </c>
      <c r="F11" s="255" t="n">
        <f aca="false">+'Eléments du compte d''exploitati'!F49</f>
        <v>472500</v>
      </c>
      <c r="G11" s="168"/>
    </row>
    <row r="12" customFormat="false" ht="14.25" hidden="false" customHeight="true" outlineLevel="0" collapsed="false">
      <c r="A12" s="195" t="s">
        <v>251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252</v>
      </c>
      <c r="B13" s="255" t="n">
        <f aca="false">+SUM('Echéancier Prêt'!E12:E23)</f>
        <v>255272.727272727</v>
      </c>
      <c r="C13" s="255" t="n">
        <f aca="false">+SUM('Echéancier Prêt'!E24:E35)</f>
        <v>157418.181818182</v>
      </c>
      <c r="D13" s="255" t="n">
        <f aca="false">+SUM('Echéancier Prêt'!E36:E47)</f>
        <v>55309.0909090911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253</v>
      </c>
      <c r="B14" s="257" t="n">
        <f aca="false">'Eléments du compte d''exploitati'!D92</f>
        <v>968916.666666667</v>
      </c>
      <c r="C14" s="257" t="n">
        <f aca="false">'Eléments du compte d''exploitati'!E92</f>
        <v>953916.666666667</v>
      </c>
      <c r="D14" s="257" t="n">
        <f aca="false">'Eléments du compte d''exploitati'!F92</f>
        <v>953916.666666667</v>
      </c>
      <c r="E14" s="257" t="n">
        <f aca="false">+C14</f>
        <v>953916.666666667</v>
      </c>
      <c r="F14" s="257" t="n">
        <f aca="false">+C14</f>
        <v>953916.666666667</v>
      </c>
      <c r="G14" s="168"/>
    </row>
    <row r="15" customFormat="false" ht="14.25" hidden="false" customHeight="true" outlineLevel="0" collapsed="false">
      <c r="A15" s="181" t="s">
        <v>254</v>
      </c>
      <c r="B15" s="252" t="n">
        <f aca="false">SUM(B9:B14)</f>
        <v>5694189.39393939</v>
      </c>
      <c r="C15" s="252" t="n">
        <f aca="false">SUM(C9:C14)</f>
        <v>5824034.84848485</v>
      </c>
      <c r="D15" s="252" t="n">
        <f aca="false">SUM(D9:D14)</f>
        <v>5884741.75757576</v>
      </c>
      <c r="E15" s="252" t="n">
        <f aca="false">SUM(E9:E14)</f>
        <v>6005273.94666667</v>
      </c>
      <c r="F15" s="252" t="n">
        <f aca="false">SUM(F9:F14)</f>
        <v>6195182.52906667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255</v>
      </c>
    </row>
    <row r="17" customFormat="false" ht="14.25" hidden="false" customHeight="true" outlineLevel="0" collapsed="false">
      <c r="A17" s="181" t="s">
        <v>256</v>
      </c>
      <c r="B17" s="252" t="n">
        <f aca="false">B6-B15</f>
        <v>1705810.60606061</v>
      </c>
      <c r="C17" s="252" t="n">
        <f aca="false">C6-C15</f>
        <v>1723965.15151515</v>
      </c>
      <c r="D17" s="252" t="n">
        <f aca="false">D6-D15</f>
        <v>1814218.24242424</v>
      </c>
      <c r="E17" s="252" t="n">
        <f aca="false">E6-E15</f>
        <v>1847665.25333333</v>
      </c>
      <c r="F17" s="252" t="n">
        <f aca="false">F6-F15</f>
        <v>1814815.45493333</v>
      </c>
      <c r="G17" s="168"/>
    </row>
    <row r="18" customFormat="false" ht="14.25" hidden="false" customHeight="true" outlineLevel="0" collapsed="false">
      <c r="A18" s="195" t="s">
        <v>257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258</v>
      </c>
      <c r="B19" s="255" t="n">
        <f aca="false">+'Eléments du compte d''exploitati'!B38</f>
        <v>189000</v>
      </c>
      <c r="C19" s="255" t="n">
        <f aca="false">+'Eléments du compte d''exploitati'!C38</f>
        <v>198450</v>
      </c>
      <c r="D19" s="255" t="n">
        <f aca="false">+'Eléments du compte d''exploitati'!D38</f>
        <v>198450</v>
      </c>
      <c r="E19" s="255" t="n">
        <f aca="false">+'Eléments du compte d''exploitati'!E38</f>
        <v>198450</v>
      </c>
      <c r="F19" s="255" t="n">
        <f aca="false">+'Eléments du compte d''exploitati'!F38</f>
        <v>198450</v>
      </c>
      <c r="G19" s="168"/>
    </row>
    <row r="20" customFormat="false" ht="14.25" hidden="false" customHeight="true" outlineLevel="0" collapsed="false">
      <c r="A20" s="181" t="s">
        <v>259</v>
      </c>
      <c r="B20" s="252" t="n">
        <f aca="false">+B17-B18-B19</f>
        <v>1516810.60606061</v>
      </c>
      <c r="C20" s="252" t="n">
        <f aca="false">+C17-C18-C19</f>
        <v>1525515.15151515</v>
      </c>
      <c r="D20" s="252" t="n">
        <f aca="false">+D17-D18-D19</f>
        <v>1615768.24242424</v>
      </c>
      <c r="E20" s="252" t="n">
        <f aca="false">+E17-E18-E19</f>
        <v>1649215.25333333</v>
      </c>
      <c r="F20" s="252" t="n">
        <f aca="false">+F17-F18-F19</f>
        <v>1616365.45493333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260</v>
      </c>
      <c r="B22" s="252" t="n">
        <f aca="false">B20+B14</f>
        <v>2485727.27272727</v>
      </c>
      <c r="C22" s="252" t="n">
        <f aca="false">C20+C14</f>
        <v>2479431.81818182</v>
      </c>
      <c r="D22" s="252" t="n">
        <f aca="false">D20+D14</f>
        <v>2569684.90909091</v>
      </c>
      <c r="E22" s="252" t="n">
        <f aca="false">E20+E14</f>
        <v>2603131.92</v>
      </c>
      <c r="F22" s="252" t="n">
        <f aca="false">F20+F14</f>
        <v>2570282.1216</v>
      </c>
      <c r="G22" s="168"/>
    </row>
    <row r="23" customFormat="false" ht="18" hidden="false" customHeight="true" outlineLevel="0" collapsed="false">
      <c r="A23" s="259" t="s">
        <v>261</v>
      </c>
      <c r="B23" s="260" t="n">
        <f aca="false">+B22</f>
        <v>2485727.27272727</v>
      </c>
      <c r="C23" s="260" t="n">
        <f aca="false">C22+B23</f>
        <v>4965159.09090909</v>
      </c>
      <c r="D23" s="260" t="n">
        <f aca="false">D22+C23</f>
        <v>7534844</v>
      </c>
      <c r="E23" s="260" t="n">
        <f aca="false">E22+D23</f>
        <v>10137975.92</v>
      </c>
      <c r="F23" s="260" t="n">
        <f aca="false">F22+E23</f>
        <v>12708258.0416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262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203</v>
      </c>
      <c r="B4" s="265" t="s">
        <v>263</v>
      </c>
      <c r="C4" s="265" t="s">
        <v>204</v>
      </c>
      <c r="D4" s="265" t="s">
        <v>205</v>
      </c>
      <c r="E4" s="265" t="s">
        <v>206</v>
      </c>
      <c r="F4" s="265" t="s">
        <v>207</v>
      </c>
      <c r="G4" s="265" t="s">
        <v>208</v>
      </c>
      <c r="H4" s="67"/>
    </row>
    <row r="5" customFormat="false" ht="15.75" hidden="false" customHeight="true" outlineLevel="0" collapsed="false">
      <c r="A5" s="81" t="s">
        <v>264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265</v>
      </c>
      <c r="B6" s="267" t="n">
        <f aca="false">'Plan Financement'!C7</f>
        <v>500000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266</v>
      </c>
      <c r="B7" s="267" t="n">
        <f aca="false">'Plan Financement'!C14</f>
        <v>3000000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267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268</v>
      </c>
      <c r="B9" s="267" t="n">
        <f aca="false">'Plan Financement'!C13</f>
        <v>1500000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269</v>
      </c>
      <c r="B10" s="267"/>
      <c r="C10" s="267" t="n">
        <f aca="false">'Compte d''exploitation'!B14</f>
        <v>968916.666666667</v>
      </c>
      <c r="D10" s="267" t="n">
        <f aca="false">'Compte d''exploitation'!C14</f>
        <v>953916.666666667</v>
      </c>
      <c r="E10" s="267" t="n">
        <f aca="false">'Compte d''exploitation'!D14</f>
        <v>953916.666666667</v>
      </c>
      <c r="F10" s="267" t="n">
        <f aca="false">'Compte d''exploitation'!E14</f>
        <v>953916.666666667</v>
      </c>
      <c r="G10" s="267" t="n">
        <f aca="false">'Compte d''exploitation'!F14</f>
        <v>953916.666666667</v>
      </c>
      <c r="H10" s="67"/>
    </row>
    <row r="11" customFormat="false" ht="15" hidden="false" customHeight="true" outlineLevel="0" collapsed="false">
      <c r="A11" s="266" t="s">
        <v>259</v>
      </c>
      <c r="B11" s="267"/>
      <c r="C11" s="267" t="n">
        <f aca="false">+'Compte d''exploitation'!B20</f>
        <v>1516810.60606061</v>
      </c>
      <c r="D11" s="267" t="n">
        <f aca="false">+'Compte d''exploitation'!C20</f>
        <v>1525515.15151515</v>
      </c>
      <c r="E11" s="267" t="n">
        <f aca="false">+'Compte d''exploitation'!D20</f>
        <v>1615768.24242424</v>
      </c>
      <c r="F11" s="267" t="n">
        <f aca="false">+'Compte d''exploitation'!E20</f>
        <v>1649215.25333333</v>
      </c>
      <c r="G11" s="267" t="n">
        <f aca="false">+'Compte d''exploitation'!F20</f>
        <v>1616365.45493333</v>
      </c>
      <c r="H11" s="67"/>
    </row>
    <row r="12" customFormat="false" ht="15" hidden="false" customHeight="true" outlineLevel="0" collapsed="false">
      <c r="A12" s="157" t="s">
        <v>270</v>
      </c>
      <c r="B12" s="268" t="n">
        <f aca="false">SUM(B6:B11)</f>
        <v>5000000</v>
      </c>
      <c r="C12" s="268" t="n">
        <f aca="false">SUM(C6:C11)</f>
        <v>2485727.27272727</v>
      </c>
      <c r="D12" s="268" t="n">
        <f aca="false">SUM(D6:D11)</f>
        <v>2479431.81818182</v>
      </c>
      <c r="E12" s="268" t="n">
        <f aca="false">SUM(E6:E11)</f>
        <v>2569684.90909091</v>
      </c>
      <c r="F12" s="268" t="n">
        <f aca="false">SUM(F6:F11)</f>
        <v>2603131.92</v>
      </c>
      <c r="G12" s="268" t="n">
        <f aca="false">SUM(G6:G11)</f>
        <v>2570282.1216</v>
      </c>
      <c r="H12" s="67"/>
    </row>
    <row r="13" customFormat="false" ht="15.75" hidden="false" customHeight="true" outlineLevel="0" collapsed="false">
      <c r="A13" s="81" t="s">
        <v>271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272</v>
      </c>
      <c r="B14" s="267" t="n">
        <f aca="false">+'Coût du projet'!C4</f>
        <v>15000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273</v>
      </c>
      <c r="B15" s="267" t="n">
        <f aca="false">+'Coût du projet'!C11</f>
        <v>3985000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274</v>
      </c>
      <c r="B16" s="267" t="n">
        <f aca="false">+'Coût du projet'!C40</f>
        <v>1000000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275</v>
      </c>
      <c r="B17" s="267"/>
      <c r="C17" s="267" t="n">
        <f aca="false">+SUM('Echéancier Prêt'!F12:F23)</f>
        <v>818181.818181818</v>
      </c>
      <c r="D17" s="267" t="n">
        <f aca="false">+SUM('Echéancier Prêt'!F24:F35)</f>
        <v>1090909.09090909</v>
      </c>
      <c r="E17" s="267" t="n">
        <f aca="false">+SUM('Echéancier Prêt'!F36:F47)</f>
        <v>1090909.09090909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276</v>
      </c>
      <c r="B18" s="268" t="n">
        <f aca="false">SUM(B14:B17)</f>
        <v>5000000</v>
      </c>
      <c r="C18" s="268" t="n">
        <f aca="false">SUM(C14:C17)</f>
        <v>818181.818181818</v>
      </c>
      <c r="D18" s="268" t="n">
        <f aca="false">SUM(D14:D17)</f>
        <v>1090909.09090909</v>
      </c>
      <c r="E18" s="268" t="n">
        <f aca="false">SUM(E14:E17)</f>
        <v>1090909.09090909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277</v>
      </c>
      <c r="B20" s="270" t="n">
        <f aca="false">+B12-B18</f>
        <v>0</v>
      </c>
      <c r="C20" s="270" t="n">
        <f aca="false">+C12-C18</f>
        <v>1667545.45454545</v>
      </c>
      <c r="D20" s="270" t="n">
        <f aca="false">+D12-D18</f>
        <v>1388522.72727273</v>
      </c>
      <c r="E20" s="270" t="n">
        <f aca="false">+E12-E18</f>
        <v>1478775.81818182</v>
      </c>
      <c r="F20" s="270" t="n">
        <f aca="false">+F12-F18</f>
        <v>2603131.92</v>
      </c>
      <c r="G20" s="270" t="n">
        <f aca="false">+G12-G18</f>
        <v>2570282.1216</v>
      </c>
      <c r="H20" s="67"/>
    </row>
    <row r="21" customFormat="false" ht="15.75" hidden="false" customHeight="true" outlineLevel="0" collapsed="false">
      <c r="A21" s="270" t="s">
        <v>278</v>
      </c>
      <c r="B21" s="270" t="n">
        <f aca="false">+B20</f>
        <v>0</v>
      </c>
      <c r="C21" s="270" t="n">
        <f aca="false">B21+C20</f>
        <v>1667545.45454545</v>
      </c>
      <c r="D21" s="270" t="n">
        <f aca="false">C21+D20</f>
        <v>3056068.18181818</v>
      </c>
      <c r="E21" s="270" t="n">
        <f aca="false">D21+E20</f>
        <v>4534844</v>
      </c>
      <c r="F21" s="270" t="n">
        <f aca="false">E21+F20</f>
        <v>7137975.92</v>
      </c>
      <c r="G21" s="270" t="n">
        <f aca="false">F21+G20</f>
        <v>9708258.0416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279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-5000000</v>
      </c>
      <c r="B25" s="274" t="n">
        <f aca="false">+'Compte d''exploitation'!B22</f>
        <v>2485727.27272727</v>
      </c>
      <c r="C25" s="274" t="n">
        <f aca="false">+'Compte d''exploitation'!C22</f>
        <v>2479431.81818182</v>
      </c>
      <c r="D25" s="274" t="n">
        <f aca="false">+'Compte d''exploitation'!D22</f>
        <v>2569684.90909091</v>
      </c>
      <c r="E25" s="274" t="n">
        <f aca="false">+'Compte d''exploitation'!E22</f>
        <v>2603131.92</v>
      </c>
      <c r="F25" s="274" t="n">
        <f aca="false">+'Compte d''exploitation'!F22</f>
        <v>2570282.1216</v>
      </c>
      <c r="G25" s="273"/>
      <c r="H25" s="67"/>
      <c r="J25" s="65" t="n">
        <f aca="false">B18/(F25*A24)</f>
        <v>24.3163968168186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280</v>
      </c>
      <c r="D27" s="277" t="n">
        <f aca="false">IRR(A25:F25)</f>
        <v>0.415537443653428</v>
      </c>
      <c r="E27" s="275" t="s">
        <v>281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282</v>
      </c>
      <c r="D29" s="278" t="n">
        <f aca="false">A25+NPV(A24,B25:F25)</f>
        <v>5129881.70228195</v>
      </c>
      <c r="E29" s="279" t="s">
        <v>281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283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284</v>
      </c>
      <c r="C33" s="282" t="s">
        <v>285</v>
      </c>
      <c r="D33" s="282" t="s">
        <v>286</v>
      </c>
      <c r="E33" s="282" t="s">
        <v>287</v>
      </c>
      <c r="F33" s="282" t="s">
        <v>288</v>
      </c>
      <c r="G33" s="281"/>
      <c r="H33" s="67"/>
    </row>
    <row r="34" customFormat="false" ht="15.75" hidden="false" customHeight="true" outlineLevel="0" collapsed="false">
      <c r="A34" s="283" t="s">
        <v>289</v>
      </c>
      <c r="B34" s="284" t="n">
        <f aca="false">+'Compte d''exploitation'!B22</f>
        <v>2485727.27272727</v>
      </c>
      <c r="C34" s="284" t="n">
        <f aca="false">+'Compte d''exploitation'!C22</f>
        <v>2479431.81818182</v>
      </c>
      <c r="D34" s="284" t="n">
        <f aca="false">+'Compte d''exploitation'!D22</f>
        <v>2569684.90909091</v>
      </c>
      <c r="E34" s="284" t="n">
        <f aca="false">+'Compte d''exploitation'!E22</f>
        <v>2603131.92</v>
      </c>
      <c r="F34" s="284" t="n">
        <f aca="false">+'Compte d''exploitation'!F22</f>
        <v>2570282.1216</v>
      </c>
      <c r="G34" s="281"/>
      <c r="H34" s="67"/>
    </row>
    <row r="35" customFormat="false" ht="15.75" hidden="false" customHeight="true" outlineLevel="0" collapsed="false">
      <c r="A35" s="283" t="s">
        <v>290</v>
      </c>
      <c r="B35" s="284" t="n">
        <f aca="false">+B34</f>
        <v>2485727.27272727</v>
      </c>
      <c r="C35" s="284" t="n">
        <f aca="false">+C34+B35</f>
        <v>4965159.09090909</v>
      </c>
      <c r="D35" s="284" t="n">
        <f aca="false">+D34+C35</f>
        <v>7534844</v>
      </c>
      <c r="E35" s="284" t="n">
        <f aca="false">+E34+D35</f>
        <v>10137975.92</v>
      </c>
      <c r="F35" s="284" t="n">
        <f aca="false">+F34+E35</f>
        <v>12708258.0416</v>
      </c>
      <c r="G35" s="281"/>
      <c r="H35" s="67"/>
      <c r="J35" s="285"/>
    </row>
    <row r="36" customFormat="false" ht="15.75" hidden="false" customHeight="true" outlineLevel="0" collapsed="false">
      <c r="A36" s="286" t="s">
        <v>291</v>
      </c>
      <c r="B36" s="284" t="n">
        <f aca="false">B35-(B35*10/100)</f>
        <v>2237154.54545455</v>
      </c>
      <c r="C36" s="284" t="n">
        <f aca="false">C34-(C34*10/100)</f>
        <v>2231488.63636364</v>
      </c>
      <c r="D36" s="284" t="n">
        <f aca="false">D34-(D34*10%)</f>
        <v>2312716.41818182</v>
      </c>
      <c r="E36" s="284" t="n">
        <f aca="false">E34-(E34*10%)</f>
        <v>2342818.728</v>
      </c>
      <c r="F36" s="284" t="n">
        <f aca="false">F34-(F34*10%)</f>
        <v>2313253.90944</v>
      </c>
      <c r="G36" s="281"/>
      <c r="H36" s="67"/>
    </row>
    <row r="37" customFormat="false" ht="15.75" hidden="false" customHeight="true" outlineLevel="0" collapsed="false">
      <c r="A37" s="287" t="s">
        <v>292</v>
      </c>
      <c r="B37" s="284" t="n">
        <f aca="false">+B36</f>
        <v>2237154.54545455</v>
      </c>
      <c r="C37" s="284" t="n">
        <f aca="false">+C36+B37</f>
        <v>4468643.18181818</v>
      </c>
      <c r="D37" s="284" t="n">
        <f aca="false">+D36+C37</f>
        <v>6781359.6</v>
      </c>
      <c r="E37" s="284" t="n">
        <f aca="false">+E36+D37</f>
        <v>9124178.328</v>
      </c>
      <c r="F37" s="284" t="n">
        <f aca="false">+F36+E37</f>
        <v>11437432.23744</v>
      </c>
      <c r="G37" s="281"/>
      <c r="H37" s="67"/>
    </row>
    <row r="38" customFormat="false" ht="15.75" hidden="false" customHeight="true" outlineLevel="0" collapsed="false">
      <c r="A38" s="288" t="s">
        <v>293</v>
      </c>
      <c r="B38" s="289" t="n">
        <f aca="false">IF(B35&gt;=$B$18,0,IF(C35&gt;=$B$18,1,IF(D35&gt;=$B$18,2,IF(E35&gt;=$B$18,3,IF(F35&gt;=$B$18,4,5)))))</f>
        <v>2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294</v>
      </c>
      <c r="B39" s="291" t="n">
        <f aca="false">CHOOSE(B38+1,0,B35,C35,D35,E35,F35)</f>
        <v>4965159.09090909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295</v>
      </c>
      <c r="B40" s="291" t="n">
        <f aca="false">CHOOSE(B38+1,B34,C34,D34,E34,F34,F34)</f>
        <v>2569684.90909091</v>
      </c>
      <c r="C40" s="273"/>
      <c r="D40" s="273"/>
      <c r="E40" s="293" t="str">
        <f aca="false">INT(B41)&amp;" ans "&amp;INT((B41-INT(B41))*12)&amp;" mois "&amp;INT((((B41-INT(B41))*12)-INT((B41-INT(B41))*12))*30) &amp; " jours "</f>
        <v>2 ans 0 mois 4 jours </v>
      </c>
      <c r="F40" s="294"/>
      <c r="G40" s="273"/>
      <c r="H40" s="67"/>
    </row>
    <row r="41" customFormat="false" ht="15" hidden="false" customHeight="true" outlineLevel="0" collapsed="false">
      <c r="A41" s="290" t="s">
        <v>296</v>
      </c>
      <c r="B41" s="295" t="n">
        <f aca="false">B38+IF(B40=0,0,(B18-B39)/B40)</f>
        <v>2.01355843627662</v>
      </c>
      <c r="C41" s="273" t="s">
        <v>297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298</v>
      </c>
      <c r="B42" s="299" t="str">
        <f aca="false">IF(ROUND(MOD(B41,1)*12,0)=12,(INT(B41)+1)&amp;" an(s) et 0 mois",INT(B41)&amp;" an(s) et "&amp;ROUND(MOD(B41,1)*12,0)&amp;" mois")</f>
        <v>2 an(s) et 0 mois</v>
      </c>
      <c r="C42" s="273" t="s">
        <v>299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300</v>
      </c>
      <c r="B44" s="303" t="n">
        <f aca="false">+B17-D36</f>
        <v>-2312716.41818182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301</v>
      </c>
      <c r="B45" s="291" t="n">
        <f aca="false">B34/(1+$A$24)^1</f>
        <v>2301599.32659933</v>
      </c>
      <c r="C45" s="305" t="n">
        <f aca="false">C34/(1+$A$24)^2</f>
        <v>2125713.15001871</v>
      </c>
      <c r="D45" s="305" t="n">
        <f aca="false">D34/(1+$A$24)^3</f>
        <v>2039898.73009935</v>
      </c>
      <c r="E45" s="306" t="n">
        <f aca="false">E34/(1+$A$24)^4</f>
        <v>1913379.67196735</v>
      </c>
      <c r="F45" s="307" t="n">
        <f aca="false">F34/(1+$A$24)^5</f>
        <v>1749290.82359722</v>
      </c>
      <c r="G45" s="273"/>
      <c r="H45" s="67"/>
    </row>
    <row r="46" customFormat="false" ht="15" hidden="false" customHeight="true" outlineLevel="0" collapsed="false">
      <c r="A46" s="290" t="s">
        <v>302</v>
      </c>
      <c r="B46" s="291" t="n">
        <f aca="false">B45</f>
        <v>2301599.32659933</v>
      </c>
      <c r="C46" s="305" t="n">
        <f aca="false">C45+B46</f>
        <v>4427312.47661803</v>
      </c>
      <c r="D46" s="305" t="n">
        <f aca="false">D45+C46</f>
        <v>6467211.20671738</v>
      </c>
      <c r="E46" s="308" t="n">
        <f aca="false">E45+D46</f>
        <v>8380590.87868473</v>
      </c>
      <c r="F46" s="308" t="n">
        <f aca="false">F45+E46</f>
        <v>10129881.702282</v>
      </c>
      <c r="G46" s="297"/>
      <c r="H46" s="67"/>
    </row>
    <row r="47" customFormat="false" ht="15" hidden="false" customHeight="true" outlineLevel="0" collapsed="false">
      <c r="A47" s="298" t="s">
        <v>303</v>
      </c>
      <c r="B47" s="289" t="n">
        <f aca="false">IF(B46&gt;=$B$18,0,IF(C46&gt;=$B$18,1,IF(D46&gt;=$B$18,2,IF(E46&gt;=$B$18,3,IF(F46&gt;=$B$18,4,5)))))</f>
        <v>2</v>
      </c>
      <c r="C47" s="273" t="s">
        <v>299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304</v>
      </c>
      <c r="B48" s="310" t="n">
        <f aca="false">CHOOSE(B47+1,0,B46,C46,D46,E46,F46)</f>
        <v>4427312.47661803</v>
      </c>
    </row>
    <row r="49" customFormat="false" ht="15" hidden="false" customHeight="true" outlineLevel="0" collapsed="false">
      <c r="A49" s="309" t="s">
        <v>305</v>
      </c>
      <c r="B49" s="310" t="n">
        <f aca="false">CHOOSE(B47+1,B45,C45,D45,E45,F45,F45)</f>
        <v>2039898.73009935</v>
      </c>
    </row>
    <row r="50" customFormat="false" ht="15" hidden="false" customHeight="true" outlineLevel="0" collapsed="false">
      <c r="A50" s="309" t="s">
        <v>306</v>
      </c>
      <c r="B50" s="311" t="n">
        <f aca="false">B47+IF(B49=0,0,(B18-B48)/B49)</f>
        <v>2.28074311480849</v>
      </c>
    </row>
    <row r="51" customFormat="false" ht="15" hidden="false" customHeight="true" outlineLevel="0" collapsed="false">
      <c r="A51" s="309" t="s">
        <v>307</v>
      </c>
      <c r="B51" s="312" t="str">
        <f aca="false">IF(ROUND(MOD(B50,1)*12,0)=12,(INT(B50)+1)&amp;" an(s) et 0 mois",INT(B50)&amp;" an(s) et "&amp;ROUND(MOD(B50,1)*12,0)&amp;" mois")</f>
        <v>2 an(s) et 3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308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309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310</v>
      </c>
      <c r="B6" s="315" t="s">
        <v>311</v>
      </c>
      <c r="C6" s="315" t="s">
        <v>312</v>
      </c>
      <c r="D6" s="315" t="s">
        <v>311</v>
      </c>
      <c r="E6" s="67"/>
    </row>
    <row r="7" customFormat="false" ht="27" hidden="false" customHeight="true" outlineLevel="0" collapsed="false">
      <c r="A7" s="316" t="s">
        <v>313</v>
      </c>
      <c r="B7" s="317"/>
      <c r="C7" s="318" t="s">
        <v>314</v>
      </c>
      <c r="D7" s="319"/>
      <c r="E7" s="67"/>
    </row>
    <row r="8" customFormat="false" ht="15.75" hidden="false" customHeight="true" outlineLevel="0" collapsed="false">
      <c r="A8" s="316" t="s">
        <v>315</v>
      </c>
      <c r="B8" s="317"/>
      <c r="C8" s="316" t="s">
        <v>316</v>
      </c>
      <c r="D8" s="319" t="n">
        <f aca="false">+D9+D10</f>
        <v>500000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317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318</v>
      </c>
      <c r="D10" s="319" t="n">
        <f aca="false">+'Plan Financement'!C8</f>
        <v>500000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15000</v>
      </c>
      <c r="C11" s="321" t="s">
        <v>319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320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321</v>
      </c>
      <c r="D13" s="319" t="n">
        <f aca="false">+'Compte de tresorerie'!B8+'Compte de tresorerie'!B9</f>
        <v>1500000</v>
      </c>
      <c r="E13" s="67"/>
    </row>
    <row r="14" customFormat="false" ht="15.75" hidden="false" customHeight="true" outlineLevel="0" collapsed="false">
      <c r="A14" s="316" t="s">
        <v>322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323</v>
      </c>
      <c r="D16" s="327" t="n">
        <f aca="false">+D13+D11+D8</f>
        <v>2000000</v>
      </c>
      <c r="E16" s="67"/>
    </row>
    <row r="17" customFormat="false" ht="15.75" hidden="false" customHeight="true" outlineLevel="0" collapsed="false">
      <c r="A17" s="320" t="str">
        <f aca="false">+'Coût du projet'!A25</f>
        <v>Puits à grand diamètre</v>
      </c>
      <c r="B17" s="325" t="n">
        <f aca="false">+'Coût du projet'!B25</f>
        <v>980000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Aménagement préparatoire</v>
      </c>
      <c r="B18" s="325" t="n">
        <f aca="false">+'Coût du projet'!B20</f>
        <v>45000</v>
      </c>
      <c r="C18" s="321" t="s">
        <v>324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Formation des billons</v>
      </c>
      <c r="B19" s="325" t="n">
        <f aca="false">+'Coût du projet'!B21</f>
        <v>60000</v>
      </c>
      <c r="C19" s="320" t="s">
        <v>325</v>
      </c>
      <c r="D19" s="319" t="n">
        <f aca="false">+'Plan Financement'!C14</f>
        <v>3000000</v>
      </c>
      <c r="E19" s="67"/>
    </row>
    <row r="20" customFormat="false" ht="15.75" hidden="false" customHeight="true" outlineLevel="0" collapsed="false">
      <c r="A20" s="320" t="str">
        <f aca="false">+'Coût du projet'!A22</f>
        <v>Système goutte-à-goutte</v>
      </c>
      <c r="B20" s="325" t="n">
        <f aca="false">+'Coût du projet'!B22</f>
        <v>750000</v>
      </c>
      <c r="C20" s="320" t="s">
        <v>326</v>
      </c>
      <c r="D20" s="319"/>
      <c r="E20" s="67"/>
    </row>
    <row r="21" customFormat="false" ht="15.75" hidden="false" customHeight="true" outlineLevel="0" collapsed="false">
      <c r="A21" s="320" t="str">
        <f aca="false">+'Coût du projet'!A23</f>
        <v>Clôture en grillage 0,75 ha</v>
      </c>
      <c r="B21" s="325" t="n">
        <f aca="false">+'Coût du projet'!B23</f>
        <v>1000000</v>
      </c>
      <c r="C21" s="320" t="s">
        <v>327</v>
      </c>
      <c r="D21" s="319"/>
      <c r="E21" s="67"/>
    </row>
    <row r="22" customFormat="false" ht="15.75" hidden="false" customHeight="true" outlineLevel="0" collapsed="false">
      <c r="A22" s="320" t="str">
        <f aca="false">+'Coût du projet'!A24</f>
        <v>Bassin 40 m³</v>
      </c>
      <c r="B22" s="325" t="n">
        <f aca="false">+'Coût du projet'!B24</f>
        <v>250000</v>
      </c>
      <c r="C22" s="326" t="s">
        <v>328</v>
      </c>
      <c r="D22" s="327" t="n">
        <f aca="false">SUM(D17:D21)</f>
        <v>3000000</v>
      </c>
      <c r="E22" s="67"/>
    </row>
    <row r="23" customFormat="false" ht="15.75" hidden="false" customHeight="true" outlineLevel="0" collapsed="false">
      <c r="A23" s="320" t="str">
        <f aca="false">+'Coût du projet'!A29</f>
        <v>Balance</v>
      </c>
      <c r="B23" s="325" t="n">
        <f aca="false">+'Coût du projet'!B29</f>
        <v>20000</v>
      </c>
      <c r="C23" s="328"/>
      <c r="D23" s="319"/>
      <c r="E23" s="67"/>
    </row>
    <row r="24" customFormat="false" ht="15.75" hidden="false" customHeight="true" outlineLevel="0" collapsed="false">
      <c r="A24" s="320" t="n">
        <f aca="false">+'Coût du projet'!A30</f>
        <v>0</v>
      </c>
      <c r="B24" s="325" t="n">
        <f aca="false">+'Coût du projet'!B30</f>
        <v>0</v>
      </c>
      <c r="C24" s="326" t="s">
        <v>329</v>
      </c>
      <c r="D24" s="327" t="n">
        <f aca="false">D16+D22</f>
        <v>5000000</v>
      </c>
      <c r="E24" s="67"/>
    </row>
    <row r="25" customFormat="false" ht="15.75" hidden="false" customHeight="true" outlineLevel="0" collapsed="false">
      <c r="A25" s="320" t="n">
        <f aca="false">+'Coût du projet'!A32</f>
        <v>0</v>
      </c>
      <c r="B25" s="325" t="n">
        <f aca="false">+'Coût du projet'!B32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projet'!A33</f>
        <v>0</v>
      </c>
      <c r="B26" s="325" t="n">
        <f aca="false">+'Coût du projet'!B33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Paillage en plastique</v>
      </c>
      <c r="B27" s="325" t="n">
        <f aca="false">+'Coût du projet'!B35</f>
        <v>400000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Pulvérisateurs</v>
      </c>
      <c r="B28" s="325" t="n">
        <f aca="false">+'Coût du projet'!B36</f>
        <v>75000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Brouettes + Houes</v>
      </c>
      <c r="B29" s="325" t="n">
        <f aca="false">+'Coût du projet'!B37</f>
        <v>60000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P 17 (2000 m)</v>
      </c>
      <c r="B30" s="325" t="n">
        <f aca="false">+'Coût du projet'!B38</f>
        <v>300000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Outils divers (dabas, pioches, pelles)</v>
      </c>
      <c r="B31" s="325" t="n">
        <f aca="false">+'Coût du projet'!B39</f>
        <v>45000</v>
      </c>
      <c r="C31" s="326"/>
      <c r="D31" s="327"/>
      <c r="E31" s="67"/>
    </row>
    <row r="32" customFormat="false" ht="15.75" hidden="false" customHeight="true" outlineLevel="0" collapsed="false">
      <c r="A32" s="316" t="s">
        <v>330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331</v>
      </c>
      <c r="B33" s="327" t="n">
        <f aca="false">SUM(B7:B32)</f>
        <v>4000000</v>
      </c>
      <c r="C33" s="324"/>
      <c r="D33" s="319"/>
      <c r="E33" s="67"/>
    </row>
    <row r="34" customFormat="false" ht="15.75" hidden="false" customHeight="true" outlineLevel="0" collapsed="false">
      <c r="A34" s="316" t="s">
        <v>332</v>
      </c>
      <c r="B34" s="317"/>
      <c r="C34" s="322" t="s">
        <v>333</v>
      </c>
      <c r="D34" s="319"/>
      <c r="E34" s="67"/>
    </row>
    <row r="35" customFormat="false" ht="15.75" hidden="false" customHeight="true" outlineLevel="0" collapsed="false">
      <c r="A35" s="316" t="s">
        <v>334</v>
      </c>
      <c r="B35" s="317"/>
      <c r="C35" s="320" t="s">
        <v>335</v>
      </c>
      <c r="D35" s="319"/>
      <c r="E35" s="67"/>
    </row>
    <row r="36" customFormat="false" ht="15.75" hidden="false" customHeight="true" outlineLevel="0" collapsed="false">
      <c r="A36" s="320" t="s">
        <v>336</v>
      </c>
      <c r="B36" s="317"/>
      <c r="C36" s="320" t="s">
        <v>337</v>
      </c>
      <c r="D36" s="319"/>
      <c r="E36" s="67"/>
    </row>
    <row r="37" customFormat="false" ht="15.75" hidden="false" customHeight="true" outlineLevel="0" collapsed="false">
      <c r="A37" s="320" t="s">
        <v>338</v>
      </c>
      <c r="B37" s="317" t="n">
        <f aca="false">+'Coût du projet'!B41+'Coût du projet'!B42</f>
        <v>480000</v>
      </c>
      <c r="C37" s="320" t="s">
        <v>339</v>
      </c>
      <c r="D37" s="319"/>
      <c r="E37" s="67"/>
    </row>
    <row r="38" customFormat="false" ht="15.75" hidden="false" customHeight="true" outlineLevel="0" collapsed="false">
      <c r="A38" s="320" t="s">
        <v>340</v>
      </c>
      <c r="B38" s="317"/>
      <c r="C38" s="320" t="s">
        <v>341</v>
      </c>
      <c r="D38" s="319"/>
      <c r="E38" s="67"/>
    </row>
    <row r="39" customFormat="false" ht="15.75" hidden="false" customHeight="true" outlineLevel="0" collapsed="false">
      <c r="A39" s="320" t="s">
        <v>342</v>
      </c>
      <c r="B39" s="317"/>
      <c r="C39" s="320" t="s">
        <v>343</v>
      </c>
      <c r="D39" s="319"/>
      <c r="E39" s="67"/>
    </row>
    <row r="40" customFormat="false" ht="15.75" hidden="false" customHeight="true" outlineLevel="0" collapsed="false">
      <c r="A40" s="316" t="s">
        <v>344</v>
      </c>
      <c r="B40" s="317"/>
      <c r="C40" s="330" t="s">
        <v>345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346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347</v>
      </c>
      <c r="B42" s="317"/>
      <c r="C42" s="316" t="s">
        <v>348</v>
      </c>
      <c r="D42" s="319"/>
      <c r="E42" s="67"/>
    </row>
    <row r="43" customFormat="false" ht="15.75" hidden="false" customHeight="true" outlineLevel="0" collapsed="false">
      <c r="A43" s="320" t="s">
        <v>349</v>
      </c>
      <c r="B43" s="317"/>
      <c r="C43" s="320" t="s">
        <v>350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351</v>
      </c>
      <c r="D44" s="319"/>
      <c r="E44" s="67"/>
    </row>
    <row r="45" customFormat="false" ht="15.75" hidden="false" customHeight="true" outlineLevel="0" collapsed="false">
      <c r="A45" s="330" t="s">
        <v>352</v>
      </c>
      <c r="B45" s="327" t="n">
        <f aca="false">SUM(B34:B43)</f>
        <v>480000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353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354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355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356</v>
      </c>
      <c r="B49" s="317" t="n">
        <f aca="false">+B86-B45-B33+B32</f>
        <v>520000</v>
      </c>
      <c r="C49" s="324"/>
      <c r="D49" s="319"/>
      <c r="E49" s="67"/>
    </row>
    <row r="50" customFormat="false" ht="15.75" hidden="false" customHeight="true" outlineLevel="0" collapsed="false">
      <c r="A50" s="330" t="s">
        <v>357</v>
      </c>
      <c r="B50" s="327" t="n">
        <f aca="false">SUM(B46:B49)</f>
        <v>520000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358</v>
      </c>
      <c r="B52" s="76" t="n">
        <f aca="false">B33+B45+B50</f>
        <v>5000000</v>
      </c>
      <c r="C52" s="335" t="s">
        <v>359</v>
      </c>
      <c r="D52" s="76" t="n">
        <f aca="false">D46+D40+D24</f>
        <v>5000000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5000000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360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361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203</v>
      </c>
      <c r="B5" s="353" t="s">
        <v>204</v>
      </c>
      <c r="C5" s="354" t="s">
        <v>205</v>
      </c>
      <c r="D5" s="353" t="s">
        <v>206</v>
      </c>
      <c r="E5" s="67"/>
    </row>
    <row r="6" customFormat="false" ht="15" hidden="false" customHeight="true" outlineLevel="0" collapsed="false">
      <c r="A6" s="348" t="s">
        <v>214</v>
      </c>
      <c r="B6" s="355" t="n">
        <f aca="false">+'Compte d''exploitation'!B10</f>
        <v>2100000</v>
      </c>
      <c r="C6" s="356" t="n">
        <f aca="false">+'Compte d''exploitation'!C10</f>
        <v>2205000</v>
      </c>
      <c r="D6" s="355" t="n">
        <f aca="false">+'Compte d''exploitation'!D10</f>
        <v>2205000</v>
      </c>
      <c r="E6" s="67"/>
    </row>
    <row r="7" customFormat="false" ht="15" hidden="false" customHeight="true" outlineLevel="0" collapsed="false">
      <c r="A7" s="348" t="s">
        <v>362</v>
      </c>
      <c r="B7" s="357" t="n">
        <f aca="false">+'Compte d''exploitation'!B19</f>
        <v>189000</v>
      </c>
      <c r="C7" s="358" t="n">
        <f aca="false">+'Compte d''exploitation'!C19</f>
        <v>198450</v>
      </c>
      <c r="D7" s="357" t="n">
        <f aca="false">+'Compte d''exploitation'!D19</f>
        <v>198450</v>
      </c>
      <c r="E7" s="67"/>
    </row>
    <row r="8" customFormat="false" ht="15" hidden="false" customHeight="true" outlineLevel="0" collapsed="false">
      <c r="A8" s="348" t="s">
        <v>253</v>
      </c>
      <c r="B8" s="357" t="n">
        <f aca="false">+'Compte d''exploitation'!B14</f>
        <v>968916.666666667</v>
      </c>
      <c r="C8" s="358" t="n">
        <f aca="false">+'Compte d''exploitation'!C14</f>
        <v>953916.666666667</v>
      </c>
      <c r="D8" s="357" t="n">
        <f aca="false">+'Compte d''exploitation'!D14</f>
        <v>953916.666666667</v>
      </c>
      <c r="E8" s="67"/>
    </row>
    <row r="9" customFormat="false" ht="15" hidden="false" customHeight="true" outlineLevel="0" collapsed="false">
      <c r="A9" s="348" t="s">
        <v>363</v>
      </c>
      <c r="B9" s="357" t="n">
        <f aca="false">+'Compte d''exploitation'!B13</f>
        <v>255272.727272727</v>
      </c>
      <c r="C9" s="358" t="n">
        <f aca="false">+'Compte d''exploitation'!C13</f>
        <v>157418.181818182</v>
      </c>
      <c r="D9" s="357" t="n">
        <f aca="false">+'Compte d''exploitation'!D13</f>
        <v>55309.0909090911</v>
      </c>
      <c r="E9" s="67"/>
    </row>
    <row r="10" customFormat="false" ht="15" hidden="false" customHeight="true" outlineLevel="0" collapsed="false">
      <c r="A10" s="348" t="s">
        <v>364</v>
      </c>
      <c r="B10" s="357" t="n">
        <f aca="false">+'Compte d''exploitation'!B17</f>
        <v>1705810.60606061</v>
      </c>
      <c r="C10" s="358" t="n">
        <f aca="false">+'Compte d''exploitation'!C17</f>
        <v>1723965.15151515</v>
      </c>
      <c r="D10" s="357" t="n">
        <f aca="false">+'Compte d''exploitation'!D17</f>
        <v>1814218.24242424</v>
      </c>
      <c r="E10" s="67"/>
    </row>
    <row r="11" customFormat="false" ht="15" hidden="false" customHeight="true" outlineLevel="0" collapsed="false">
      <c r="A11" s="181" t="s">
        <v>365</v>
      </c>
      <c r="B11" s="359" t="n">
        <f aca="false">+SUM(B6:B10)</f>
        <v>5219000</v>
      </c>
      <c r="C11" s="359" t="n">
        <f aca="false">+SUM(C6:C10)</f>
        <v>5238750</v>
      </c>
      <c r="D11" s="359" t="n">
        <f aca="false">+SUM(D6:D10)</f>
        <v>5226894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366</v>
      </c>
      <c r="B13" s="359" t="n">
        <f aca="false">+'Compte d''exploitation'!B6</f>
        <v>7400000</v>
      </c>
      <c r="C13" s="359" t="n">
        <f aca="false">+'Compte d''exploitation'!C6</f>
        <v>7548000</v>
      </c>
      <c r="D13" s="359" t="n">
        <f aca="false">+'Compte d''exploitation'!D6</f>
        <v>7698960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367</v>
      </c>
      <c r="B15" s="361" t="n">
        <f aca="false">+(B11/B13)</f>
        <v>0.70527027027027</v>
      </c>
      <c r="C15" s="361" t="n">
        <f aca="false">+(C11/C13)</f>
        <v>0.694058028616852</v>
      </c>
      <c r="D15" s="361" t="n">
        <f aca="false">+(D11/D13)</f>
        <v>0.67890909941083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368</v>
      </c>
      <c r="B17" s="364"/>
      <c r="C17" s="365" t="n">
        <f aca="false">+AVERAGE(B15:D15)</f>
        <v>0.692745799432651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369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370</v>
      </c>
      <c r="C20" s="369" t="s">
        <v>371</v>
      </c>
      <c r="E20" s="67"/>
    </row>
    <row r="21" customFormat="false" ht="15" hidden="false" customHeight="true" outlineLevel="0" collapsed="false">
      <c r="A21" s="370" t="s">
        <v>372</v>
      </c>
      <c r="B21" s="371"/>
      <c r="C21" s="357" t="n">
        <f aca="false">+'Compte d''exploitation'!D9</f>
        <v>2198016</v>
      </c>
      <c r="E21" s="67"/>
    </row>
    <row r="22" customFormat="false" ht="15" hidden="false" customHeight="true" outlineLevel="0" collapsed="false">
      <c r="A22" s="370" t="s">
        <v>373</v>
      </c>
      <c r="B22" s="371" t="n">
        <f aca="false">+'Compte d''exploitation'!E10</f>
        <v>2205000</v>
      </c>
      <c r="C22" s="357"/>
      <c r="E22" s="67"/>
    </row>
    <row r="23" customFormat="false" ht="15" hidden="false" customHeight="true" outlineLevel="0" collapsed="false">
      <c r="A23" s="370" t="s">
        <v>258</v>
      </c>
      <c r="B23" s="371" t="n">
        <f aca="false">+'Compte d''exploitation'!E19</f>
        <v>198450</v>
      </c>
      <c r="C23" s="357"/>
      <c r="E23" s="67"/>
    </row>
    <row r="24" customFormat="false" ht="17.25" hidden="false" customHeight="true" outlineLevel="0" collapsed="false">
      <c r="A24" s="370" t="s">
        <v>250</v>
      </c>
      <c r="B24" s="371"/>
      <c r="C24" s="357" t="n">
        <f aca="false">+'Compte d''exploitation'!D11</f>
        <v>472500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374</v>
      </c>
      <c r="B26" s="371" t="n">
        <f aca="false">+'Compte d''exploitation'!D13</f>
        <v>55309.0909090911</v>
      </c>
      <c r="C26" s="357"/>
      <c r="E26" s="67"/>
    </row>
    <row r="27" customFormat="false" ht="15" hidden="false" customHeight="true" outlineLevel="0" collapsed="false">
      <c r="A27" s="181" t="s">
        <v>212</v>
      </c>
      <c r="B27" s="372" t="n">
        <f aca="false">+SUM(B21:B26)</f>
        <v>2458759.09090909</v>
      </c>
      <c r="C27" s="373" t="n">
        <f aca="false">+SUM(C21:C26)</f>
        <v>2670516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375</v>
      </c>
      <c r="B29" s="374" t="n">
        <f aca="false">+(B27/(D13-C27))</f>
        <v>0.488970164708823</v>
      </c>
      <c r="C29" s="375" t="s">
        <v>376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377</v>
      </c>
      <c r="B31" s="376" t="n">
        <f aca="false">+'Compte de tresorerie'!D27</f>
        <v>0.415537443653428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378</v>
      </c>
      <c r="B33" s="377" t="n">
        <f aca="false">+'Compte de tresorerie'!D29</f>
        <v>5129881.70228195</v>
      </c>
      <c r="C33" s="368" t="s">
        <v>379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380</v>
      </c>
      <c r="B35" s="377"/>
      <c r="C35" s="368"/>
      <c r="E35" s="67"/>
    </row>
    <row r="36" customFormat="false" ht="15" hidden="false" customHeight="true" outlineLevel="0" collapsed="false">
      <c r="A36" s="378" t="s">
        <v>381</v>
      </c>
      <c r="B36" s="379"/>
      <c r="C36" s="380" t="str">
        <f aca="false">+'Compte de tresorerie'!B42</f>
        <v>2 an(s) et 0 mois</v>
      </c>
      <c r="E36" s="67"/>
    </row>
    <row r="37" customFormat="false" ht="15" hidden="false" customHeight="true" outlineLevel="0" collapsed="false">
      <c r="A37" s="378" t="s">
        <v>382</v>
      </c>
      <c r="B37" s="381" t="n">
        <f aca="false">+'Compte de tresorerie'!A24</f>
        <v>0.08</v>
      </c>
      <c r="C37" s="380" t="str">
        <f aca="false">+'Compte de tresorerie'!B51</f>
        <v>2 an(s) et 3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383</v>
      </c>
      <c r="B39" s="383" t="n">
        <f aca="false">+'Compte de tresorerie'!E11/'Ratios d''analyse'!D13</f>
        <v>0.209868377342426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384</v>
      </c>
      <c r="B2" s="392" t="s">
        <v>385</v>
      </c>
      <c r="C2" s="393" t="s">
        <v>386</v>
      </c>
      <c r="D2" s="393" t="s">
        <v>387</v>
      </c>
      <c r="E2" s="393" t="s">
        <v>388</v>
      </c>
      <c r="F2" s="393" t="s">
        <v>389</v>
      </c>
      <c r="G2" s="393" t="s">
        <v>390</v>
      </c>
      <c r="H2" s="393" t="s">
        <v>391</v>
      </c>
      <c r="I2" s="393" t="s">
        <v>392</v>
      </c>
      <c r="J2" s="393" t="s">
        <v>393</v>
      </c>
      <c r="K2" s="393" t="s">
        <v>394</v>
      </c>
      <c r="L2" s="393" t="s">
        <v>395</v>
      </c>
      <c r="M2" s="393" t="s">
        <v>396</v>
      </c>
      <c r="N2" s="394" t="s">
        <v>397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265</v>
      </c>
      <c r="B4" s="79" t="n">
        <f aca="false">+'Compte de tresorerie'!B6</f>
        <v>500000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266</v>
      </c>
      <c r="B5" s="79" t="n">
        <f aca="false">+'Compte de tresorerie'!B7</f>
        <v>3000000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267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268</v>
      </c>
      <c r="B7" s="79" t="n">
        <f aca="false">+'Compte de tresorerie'!B9</f>
        <v>1500000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269</v>
      </c>
      <c r="B8" s="79" t="n">
        <f aca="false">+'Compte de tresorerie'!B10</f>
        <v>0</v>
      </c>
      <c r="C8" s="396" t="n">
        <f aca="false">+'Compte de tresorerie'!C10/12</f>
        <v>80743.0555555556</v>
      </c>
      <c r="D8" s="396" t="n">
        <f aca="false">C8</f>
        <v>80743.0555555556</v>
      </c>
      <c r="E8" s="396" t="n">
        <f aca="false">D8</f>
        <v>80743.0555555556</v>
      </c>
      <c r="F8" s="396" t="n">
        <f aca="false">+E8</f>
        <v>80743.0555555556</v>
      </c>
      <c r="G8" s="396" t="n">
        <f aca="false">+F8</f>
        <v>80743.0555555556</v>
      </c>
      <c r="H8" s="396" t="n">
        <f aca="false">+G8</f>
        <v>80743.0555555556</v>
      </c>
      <c r="I8" s="396" t="n">
        <f aca="false">+H8</f>
        <v>80743.0555555556</v>
      </c>
      <c r="J8" s="396" t="n">
        <f aca="false">+I8</f>
        <v>80743.0555555556</v>
      </c>
      <c r="K8" s="396" t="n">
        <f aca="false">+J8</f>
        <v>80743.0555555556</v>
      </c>
      <c r="L8" s="396" t="n">
        <f aca="false">+K8</f>
        <v>80743.0555555556</v>
      </c>
      <c r="M8" s="396" t="n">
        <f aca="false">+L8</f>
        <v>80743.0555555556</v>
      </c>
      <c r="N8" s="396" t="n">
        <f aca="false">+M8</f>
        <v>80743.0555555556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259</v>
      </c>
      <c r="B9" s="79" t="n">
        <f aca="false">+'Compte de tresorerie'!B11</f>
        <v>0</v>
      </c>
      <c r="C9" s="396" t="n">
        <f aca="false">+'Compte de tresorerie'!C11/12</f>
        <v>126400.883838384</v>
      </c>
      <c r="D9" s="396" t="n">
        <f aca="false">C9</f>
        <v>126400.883838384</v>
      </c>
      <c r="E9" s="396" t="n">
        <f aca="false">D9</f>
        <v>126400.883838384</v>
      </c>
      <c r="F9" s="396" t="n">
        <f aca="false">+E9</f>
        <v>126400.883838384</v>
      </c>
      <c r="G9" s="396" t="n">
        <f aca="false">+F9</f>
        <v>126400.883838384</v>
      </c>
      <c r="H9" s="396" t="n">
        <f aca="false">+G9</f>
        <v>126400.883838384</v>
      </c>
      <c r="I9" s="396" t="n">
        <f aca="false">+H9</f>
        <v>126400.883838384</v>
      </c>
      <c r="J9" s="396" t="n">
        <f aca="false">+I9</f>
        <v>126400.883838384</v>
      </c>
      <c r="K9" s="396" t="n">
        <f aca="false">+J9</f>
        <v>126400.883838384</v>
      </c>
      <c r="L9" s="396" t="n">
        <f aca="false">+K9</f>
        <v>126400.883838384</v>
      </c>
      <c r="M9" s="396" t="n">
        <f aca="false">+L9</f>
        <v>126400.883838384</v>
      </c>
      <c r="N9" s="396" t="n">
        <f aca="false">+M9</f>
        <v>126400.883838384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398</v>
      </c>
      <c r="B10" s="398"/>
      <c r="C10" s="399" t="n">
        <f aca="false">SUM(C3:C9)</f>
        <v>207143.939393939</v>
      </c>
      <c r="D10" s="399" t="n">
        <f aca="false">SUM(D3:D9)</f>
        <v>207143.939393939</v>
      </c>
      <c r="E10" s="399" t="n">
        <f aca="false">SUM(E3:E9)</f>
        <v>207143.939393939</v>
      </c>
      <c r="F10" s="399" t="n">
        <f aca="false">SUM(F3:F9)</f>
        <v>207143.939393939</v>
      </c>
      <c r="G10" s="399" t="n">
        <f aca="false">SUM(G3:G9)</f>
        <v>207143.939393939</v>
      </c>
      <c r="H10" s="399" t="n">
        <f aca="false">SUM(H3:H9)</f>
        <v>207143.939393939</v>
      </c>
      <c r="I10" s="399" t="n">
        <f aca="false">SUM(I3:I9)</f>
        <v>207143.939393939</v>
      </c>
      <c r="J10" s="399" t="n">
        <f aca="false">SUM(J3:J9)</f>
        <v>207143.939393939</v>
      </c>
      <c r="K10" s="399" t="n">
        <f aca="false">SUM(K3:K9)</f>
        <v>207143.939393939</v>
      </c>
      <c r="L10" s="399" t="n">
        <f aca="false">SUM(L3:L9)</f>
        <v>207143.939393939</v>
      </c>
      <c r="M10" s="399" t="n">
        <f aca="false">SUM(M3:M9)</f>
        <v>207143.939393939</v>
      </c>
      <c r="N10" s="399" t="n">
        <f aca="false">SUM(N3:N9)</f>
        <v>207143.939393939</v>
      </c>
      <c r="O10" s="390"/>
    </row>
    <row r="11" customFormat="false" ht="15" hidden="false" customHeight="true" outlineLevel="0" collapsed="false">
      <c r="A11" s="400" t="s">
        <v>272</v>
      </c>
      <c r="B11" s="79" t="n">
        <f aca="false">+'Compte de tresorerie'!B14</f>
        <v>15000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273</v>
      </c>
      <c r="B12" s="79" t="n">
        <f aca="false">+'Compte de tresorerie'!B15</f>
        <v>3985000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274</v>
      </c>
      <c r="B13" s="79" t="n">
        <f aca="false">+'Compte de tresorerie'!B16</f>
        <v>1000000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275</v>
      </c>
      <c r="B14" s="79"/>
      <c r="C14" s="396" t="n">
        <f aca="false">+'Compte de tresorerie'!C17/12</f>
        <v>68181.8181818182</v>
      </c>
      <c r="D14" s="396" t="n">
        <f aca="false">+C14</f>
        <v>68181.8181818182</v>
      </c>
      <c r="E14" s="396" t="n">
        <f aca="false">+D14</f>
        <v>68181.8181818182</v>
      </c>
      <c r="F14" s="396" t="n">
        <f aca="false">+E14</f>
        <v>68181.8181818182</v>
      </c>
      <c r="G14" s="396" t="n">
        <f aca="false">+F14</f>
        <v>68181.8181818182</v>
      </c>
      <c r="H14" s="396" t="n">
        <f aca="false">+G14</f>
        <v>68181.8181818182</v>
      </c>
      <c r="I14" s="396" t="n">
        <f aca="false">+H14</f>
        <v>68181.8181818182</v>
      </c>
      <c r="J14" s="396" t="n">
        <f aca="false">+I14</f>
        <v>68181.8181818182</v>
      </c>
      <c r="K14" s="396" t="n">
        <f aca="false">+J14</f>
        <v>68181.8181818182</v>
      </c>
      <c r="L14" s="396" t="n">
        <f aca="false">+K14</f>
        <v>68181.8181818182</v>
      </c>
      <c r="M14" s="396" t="n">
        <f aca="false">+L14</f>
        <v>68181.8181818182</v>
      </c>
      <c r="N14" s="396" t="n">
        <f aca="false">+M14</f>
        <v>68181.8181818182</v>
      </c>
      <c r="O14" s="390"/>
    </row>
    <row r="15" customFormat="false" ht="15" hidden="false" customHeight="true" outlineLevel="0" collapsed="false">
      <c r="A15" s="350" t="s">
        <v>399</v>
      </c>
      <c r="B15" s="401" t="n">
        <f aca="false">SUM(B11:B14)</f>
        <v>5000000</v>
      </c>
      <c r="C15" s="401" t="n">
        <f aca="false">SUM(C11:C14)</f>
        <v>68181.8181818182</v>
      </c>
      <c r="D15" s="401" t="n">
        <f aca="false">SUM(D11:D14)</f>
        <v>68181.8181818182</v>
      </c>
      <c r="E15" s="401" t="n">
        <f aca="false">SUM(E11:E14)</f>
        <v>68181.8181818182</v>
      </c>
      <c r="F15" s="401" t="n">
        <f aca="false">SUM(F11:F14)</f>
        <v>68181.8181818182</v>
      </c>
      <c r="G15" s="401" t="n">
        <f aca="false">SUM(G11:G14)</f>
        <v>68181.8181818182</v>
      </c>
      <c r="H15" s="401" t="n">
        <f aca="false">SUM(H11:H14)</f>
        <v>68181.8181818182</v>
      </c>
      <c r="I15" s="401" t="n">
        <f aca="false">SUM(I11:I14)</f>
        <v>68181.8181818182</v>
      </c>
      <c r="J15" s="401" t="n">
        <f aca="false">SUM(J11:J14)</f>
        <v>68181.8181818182</v>
      </c>
      <c r="K15" s="401" t="n">
        <f aca="false">SUM(K11:K14)</f>
        <v>68181.8181818182</v>
      </c>
      <c r="L15" s="401" t="n">
        <f aca="false">SUM(L11:L14)</f>
        <v>68181.8181818182</v>
      </c>
      <c r="M15" s="401" t="n">
        <f aca="false">SUM(M11:M14)</f>
        <v>68181.8181818182</v>
      </c>
      <c r="N15" s="401" t="n">
        <f aca="false">SUM(N11:N14)</f>
        <v>68181.8181818182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400</v>
      </c>
      <c r="B17" s="353"/>
      <c r="C17" s="354" t="n">
        <f aca="false">C10-C15</f>
        <v>138962.121212121</v>
      </c>
      <c r="D17" s="354" t="n">
        <f aca="false">D10-D15</f>
        <v>138962.121212121</v>
      </c>
      <c r="E17" s="354" t="n">
        <f aca="false">E10-E15</f>
        <v>138962.121212121</v>
      </c>
      <c r="F17" s="354" t="n">
        <f aca="false">F10-F15</f>
        <v>138962.121212121</v>
      </c>
      <c r="G17" s="354" t="n">
        <f aca="false">G10-G15</f>
        <v>138962.121212121</v>
      </c>
      <c r="H17" s="354" t="n">
        <f aca="false">H10-H15</f>
        <v>138962.121212121</v>
      </c>
      <c r="I17" s="354" t="n">
        <f aca="false">I10-I15</f>
        <v>138962.121212121</v>
      </c>
      <c r="J17" s="354" t="n">
        <f aca="false">J10-J15</f>
        <v>138962.121212121</v>
      </c>
      <c r="K17" s="354" t="n">
        <f aca="false">K10-K15</f>
        <v>138962.121212121</v>
      </c>
      <c r="L17" s="354" t="n">
        <f aca="false">L10-L15</f>
        <v>138962.121212121</v>
      </c>
      <c r="M17" s="354" t="n">
        <f aca="false">M10-M15</f>
        <v>138962.121212121</v>
      </c>
      <c r="N17" s="403" t="n">
        <f aca="false">N10-N15</f>
        <v>138962.121212121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401</v>
      </c>
      <c r="B19" s="353"/>
      <c r="C19" s="354" t="n">
        <f aca="false">C17</f>
        <v>138962.121212121</v>
      </c>
      <c r="D19" s="354" t="n">
        <f aca="false">C19+D17</f>
        <v>277924.242424242</v>
      </c>
      <c r="E19" s="354" t="n">
        <f aca="false">D19+E17</f>
        <v>416886.363636364</v>
      </c>
      <c r="F19" s="354" t="n">
        <f aca="false">E19+F17</f>
        <v>555848.484848485</v>
      </c>
      <c r="G19" s="354" t="n">
        <f aca="false">F19+G17</f>
        <v>694810.606060606</v>
      </c>
      <c r="H19" s="354" t="n">
        <f aca="false">G19+H17</f>
        <v>833772.727272727</v>
      </c>
      <c r="I19" s="354" t="n">
        <f aca="false">H19+I17</f>
        <v>972734.848484848</v>
      </c>
      <c r="J19" s="354" t="n">
        <f aca="false">I19+J17</f>
        <v>1111696.96969697</v>
      </c>
      <c r="K19" s="354" t="n">
        <f aca="false">J19+K17</f>
        <v>1250659.09090909</v>
      </c>
      <c r="L19" s="354" t="n">
        <f aca="false">K19+L17</f>
        <v>1389621.21212121</v>
      </c>
      <c r="M19" s="354" t="n">
        <f aca="false">L19+M17</f>
        <v>1528583.33333333</v>
      </c>
      <c r="N19" s="403" t="n">
        <f aca="false">M19+N17</f>
        <v>1667545.45454545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108</v>
      </c>
      <c r="B2" s="413" t="s">
        <v>386</v>
      </c>
      <c r="C2" s="413" t="s">
        <v>387</v>
      </c>
      <c r="D2" s="413" t="s">
        <v>402</v>
      </c>
      <c r="E2" s="413" t="s">
        <v>389</v>
      </c>
      <c r="F2" s="413" t="s">
        <v>390</v>
      </c>
      <c r="G2" s="413" t="s">
        <v>391</v>
      </c>
      <c r="H2" s="413" t="s">
        <v>392</v>
      </c>
      <c r="I2" s="413" t="s">
        <v>393</v>
      </c>
      <c r="J2" s="413" t="s">
        <v>394</v>
      </c>
      <c r="K2" s="413" t="s">
        <v>395</v>
      </c>
      <c r="L2" s="413" t="s">
        <v>396</v>
      </c>
      <c r="M2" s="413" t="s">
        <v>397</v>
      </c>
      <c r="N2" s="390"/>
    </row>
    <row r="3" customFormat="false" ht="15" hidden="false" customHeight="true" outlineLevel="0" collapsed="false">
      <c r="A3" s="414" t="s">
        <v>403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pastèque gros calibre</v>
      </c>
      <c r="B4" s="417" t="n">
        <f aca="false">+'Eléments du compte d''exploitati'!B7/12</f>
        <v>466666.666666667</v>
      </c>
      <c r="C4" s="417" t="n">
        <f aca="false">B4</f>
        <v>466666.666666667</v>
      </c>
      <c r="D4" s="417" t="n">
        <f aca="false">C4</f>
        <v>466666.666666667</v>
      </c>
      <c r="E4" s="417" t="n">
        <f aca="false">D4</f>
        <v>466666.666666667</v>
      </c>
      <c r="F4" s="417" t="n">
        <f aca="false">E4</f>
        <v>466666.666666667</v>
      </c>
      <c r="G4" s="417" t="n">
        <f aca="false">F4</f>
        <v>466666.666666667</v>
      </c>
      <c r="H4" s="417" t="n">
        <f aca="false">G4</f>
        <v>466666.666666667</v>
      </c>
      <c r="I4" s="417" t="n">
        <f aca="false">H4</f>
        <v>466666.666666667</v>
      </c>
      <c r="J4" s="417" t="n">
        <f aca="false">I4</f>
        <v>466666.666666667</v>
      </c>
      <c r="K4" s="417" t="n">
        <f aca="false">J4</f>
        <v>466666.666666667</v>
      </c>
      <c r="L4" s="417" t="n">
        <f aca="false">K4</f>
        <v>466666.666666667</v>
      </c>
      <c r="M4" s="417" t="n">
        <f aca="false">L4</f>
        <v>466666.666666667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pastèque moyen calibre</v>
      </c>
      <c r="B5" s="417" t="n">
        <f aca="false">+'Eléments du compte d''exploitati'!B8/12</f>
        <v>150000</v>
      </c>
      <c r="C5" s="417" t="n">
        <f aca="false">B5</f>
        <v>150000</v>
      </c>
      <c r="D5" s="417" t="n">
        <f aca="false">C5</f>
        <v>150000</v>
      </c>
      <c r="E5" s="417" t="n">
        <f aca="false">D5</f>
        <v>150000</v>
      </c>
      <c r="F5" s="417" t="n">
        <f aca="false">E5</f>
        <v>150000</v>
      </c>
      <c r="G5" s="417" t="n">
        <f aca="false">F5</f>
        <v>150000</v>
      </c>
      <c r="H5" s="417" t="n">
        <f aca="false">G5</f>
        <v>150000</v>
      </c>
      <c r="I5" s="417" t="n">
        <f aca="false">H5</f>
        <v>150000</v>
      </c>
      <c r="J5" s="417" t="n">
        <f aca="false">I5</f>
        <v>150000</v>
      </c>
      <c r="K5" s="417" t="n">
        <f aca="false">J5</f>
        <v>150000</v>
      </c>
      <c r="L5" s="417" t="n">
        <f aca="false">K5</f>
        <v>150000</v>
      </c>
      <c r="M5" s="417" t="n">
        <f aca="false">L5</f>
        <v>150000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n">
        <f aca="false">+'Eléments du compte d''exploitati'!A9</f>
        <v>0</v>
      </c>
      <c r="B6" s="417" t="n">
        <f aca="false">+'Eléments du compte d''exploitati'!B9/12</f>
        <v>0</v>
      </c>
      <c r="C6" s="417" t="n">
        <f aca="false">B6</f>
        <v>0</v>
      </c>
      <c r="D6" s="417" t="n">
        <f aca="false">C6</f>
        <v>0</v>
      </c>
      <c r="E6" s="417" t="n">
        <f aca="false">D6</f>
        <v>0</v>
      </c>
      <c r="F6" s="417" t="n">
        <f aca="false">E6</f>
        <v>0</v>
      </c>
      <c r="G6" s="417" t="n">
        <f aca="false">F6</f>
        <v>0</v>
      </c>
      <c r="H6" s="417" t="n">
        <f aca="false">G6</f>
        <v>0</v>
      </c>
      <c r="I6" s="417" t="n">
        <f aca="false">H6</f>
        <v>0</v>
      </c>
      <c r="J6" s="417" t="n">
        <f aca="false">I6</f>
        <v>0</v>
      </c>
      <c r="K6" s="417" t="n">
        <f aca="false">J6</f>
        <v>0</v>
      </c>
      <c r="L6" s="417" t="n">
        <f aca="false">K6</f>
        <v>0</v>
      </c>
      <c r="M6" s="417" t="n">
        <f aca="false">L6</f>
        <v>0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n">
        <f aca="false">+'Eléments du compte d''exploitati'!A10</f>
        <v>0</v>
      </c>
      <c r="B7" s="417" t="n">
        <f aca="false">+'Eléments du compte d''exploitati'!B10/12</f>
        <v>0</v>
      </c>
      <c r="C7" s="417" t="n">
        <f aca="false">B7</f>
        <v>0</v>
      </c>
      <c r="D7" s="417" t="n">
        <f aca="false">C7</f>
        <v>0</v>
      </c>
      <c r="E7" s="417" t="n">
        <f aca="false">D7</f>
        <v>0</v>
      </c>
      <c r="F7" s="417" t="n">
        <f aca="false">E7</f>
        <v>0</v>
      </c>
      <c r="G7" s="417" t="n">
        <f aca="false">F7</f>
        <v>0</v>
      </c>
      <c r="H7" s="417" t="n">
        <f aca="false">G7</f>
        <v>0</v>
      </c>
      <c r="I7" s="417" t="n">
        <f aca="false">H7</f>
        <v>0</v>
      </c>
      <c r="J7" s="417" t="n">
        <f aca="false">I7</f>
        <v>0</v>
      </c>
      <c r="K7" s="417" t="n">
        <f aca="false">J7</f>
        <v>0</v>
      </c>
      <c r="L7" s="417" t="n">
        <f aca="false">K7</f>
        <v>0</v>
      </c>
      <c r="M7" s="417" t="n">
        <f aca="false">L7</f>
        <v>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404</v>
      </c>
      <c r="B9" s="351" t="n">
        <f aca="false">SUM(B4:B8)</f>
        <v>616666.666666667</v>
      </c>
      <c r="C9" s="351" t="n">
        <f aca="false">SUM(C4:C8)</f>
        <v>616666.666666667</v>
      </c>
      <c r="D9" s="351" t="n">
        <f aca="false">SUM(D4:D8)</f>
        <v>616666.666666667</v>
      </c>
      <c r="E9" s="351" t="n">
        <f aca="false">SUM(E4:E8)</f>
        <v>616666.666666667</v>
      </c>
      <c r="F9" s="351" t="n">
        <f aca="false">SUM(F4:F8)</f>
        <v>616666.666666667</v>
      </c>
      <c r="G9" s="351" t="n">
        <f aca="false">SUM(G4:G8)</f>
        <v>616666.666666667</v>
      </c>
      <c r="H9" s="351" t="n">
        <f aca="false">SUM(H4:H8)</f>
        <v>616666.666666667</v>
      </c>
      <c r="I9" s="351" t="n">
        <f aca="false">SUM(I4:I8)</f>
        <v>616666.666666667</v>
      </c>
      <c r="J9" s="351" t="n">
        <f aca="false">SUM(J4:J8)</f>
        <v>616666.666666667</v>
      </c>
      <c r="K9" s="351" t="n">
        <f aca="false">SUM(K4:K8)</f>
        <v>616666.666666667</v>
      </c>
      <c r="L9" s="351" t="n">
        <f aca="false">SUM(L4:L8)</f>
        <v>616666.666666667</v>
      </c>
      <c r="M9" s="351" t="n">
        <f aca="false">SUM(M4:M8)</f>
        <v>616666.666666667</v>
      </c>
      <c r="N9" s="390"/>
    </row>
    <row r="10" customFormat="false" ht="15" hidden="false" customHeight="true" outlineLevel="0" collapsed="false">
      <c r="A10" s="414" t="s">
        <v>405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406</v>
      </c>
      <c r="B11" s="417" t="n">
        <f aca="false">+'Compte d''exploitation'!B9/12</f>
        <v>160000</v>
      </c>
      <c r="C11" s="417" t="n">
        <f aca="false">B11</f>
        <v>160000</v>
      </c>
      <c r="D11" s="417" t="n">
        <f aca="false">C11</f>
        <v>160000</v>
      </c>
      <c r="E11" s="417" t="n">
        <f aca="false">D11</f>
        <v>160000</v>
      </c>
      <c r="F11" s="417" t="n">
        <f aca="false">E11</f>
        <v>160000</v>
      </c>
      <c r="G11" s="417" t="n">
        <f aca="false">F11</f>
        <v>160000</v>
      </c>
      <c r="H11" s="417" t="n">
        <f aca="false">G11</f>
        <v>160000</v>
      </c>
      <c r="I11" s="417" t="n">
        <f aca="false">H11</f>
        <v>160000</v>
      </c>
      <c r="J11" s="417" t="n">
        <f aca="false">I11</f>
        <v>160000</v>
      </c>
      <c r="K11" s="417" t="n">
        <f aca="false">J11</f>
        <v>160000</v>
      </c>
      <c r="L11" s="417" t="n">
        <f aca="false">K11</f>
        <v>160000</v>
      </c>
      <c r="M11" s="417" t="n">
        <f aca="false">L11</f>
        <v>160000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175000</v>
      </c>
      <c r="C12" s="417" t="n">
        <f aca="false">B12</f>
        <v>175000</v>
      </c>
      <c r="D12" s="417" t="n">
        <f aca="false">C12</f>
        <v>175000</v>
      </c>
      <c r="E12" s="417" t="n">
        <f aca="false">D12</f>
        <v>175000</v>
      </c>
      <c r="F12" s="417" t="n">
        <f aca="false">E12</f>
        <v>175000</v>
      </c>
      <c r="G12" s="417" t="n">
        <f aca="false">F12</f>
        <v>175000</v>
      </c>
      <c r="H12" s="417" t="n">
        <f aca="false">G12</f>
        <v>175000</v>
      </c>
      <c r="I12" s="417" t="n">
        <f aca="false">H12</f>
        <v>175000</v>
      </c>
      <c r="J12" s="417" t="n">
        <f aca="false">I12</f>
        <v>175000</v>
      </c>
      <c r="K12" s="417" t="n">
        <f aca="false">J12</f>
        <v>175000</v>
      </c>
      <c r="L12" s="417" t="n">
        <f aca="false">K12</f>
        <v>175000</v>
      </c>
      <c r="M12" s="417" t="n">
        <f aca="false">L12</f>
        <v>175000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15750</v>
      </c>
      <c r="C13" s="417" t="n">
        <f aca="false">B13</f>
        <v>15750</v>
      </c>
      <c r="D13" s="417" t="n">
        <f aca="false">C13</f>
        <v>15750</v>
      </c>
      <c r="E13" s="417" t="n">
        <f aca="false">D13</f>
        <v>15750</v>
      </c>
      <c r="F13" s="417" t="n">
        <f aca="false">E13</f>
        <v>15750</v>
      </c>
      <c r="G13" s="417" t="n">
        <f aca="false">F13</f>
        <v>15750</v>
      </c>
      <c r="H13" s="417" t="n">
        <f aca="false">G13</f>
        <v>15750</v>
      </c>
      <c r="I13" s="417" t="n">
        <f aca="false">H13</f>
        <v>15750</v>
      </c>
      <c r="J13" s="417" t="n">
        <f aca="false">I13</f>
        <v>15750</v>
      </c>
      <c r="K13" s="417" t="n">
        <f aca="false">J13</f>
        <v>15750</v>
      </c>
      <c r="L13" s="417" t="n">
        <f aca="false">K13</f>
        <v>15750</v>
      </c>
      <c r="M13" s="417" t="n">
        <f aca="false">L13</f>
        <v>15750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37500</v>
      </c>
      <c r="C14" s="420" t="n">
        <f aca="false">B14</f>
        <v>37500</v>
      </c>
      <c r="D14" s="420" t="n">
        <f aca="false">C14</f>
        <v>37500</v>
      </c>
      <c r="E14" s="420" t="n">
        <f aca="false">D14</f>
        <v>37500</v>
      </c>
      <c r="F14" s="420" t="n">
        <f aca="false">E14</f>
        <v>37500</v>
      </c>
      <c r="G14" s="420" t="n">
        <f aca="false">F14</f>
        <v>37500</v>
      </c>
      <c r="H14" s="420" t="n">
        <f aca="false">G14</f>
        <v>37500</v>
      </c>
      <c r="I14" s="420" t="n">
        <f aca="false">H14</f>
        <v>37500</v>
      </c>
      <c r="J14" s="420" t="n">
        <f aca="false">I14</f>
        <v>37500</v>
      </c>
      <c r="K14" s="420" t="n">
        <f aca="false">J14</f>
        <v>37500</v>
      </c>
      <c r="L14" s="420" t="n">
        <f aca="false">K14</f>
        <v>37500</v>
      </c>
      <c r="M14" s="420" t="n">
        <f aca="false">L14</f>
        <v>37500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21272.7272727273</v>
      </c>
      <c r="C16" s="417" t="n">
        <f aca="false">B16</f>
        <v>21272.7272727273</v>
      </c>
      <c r="D16" s="417" t="n">
        <f aca="false">C16</f>
        <v>21272.7272727273</v>
      </c>
      <c r="E16" s="417" t="n">
        <f aca="false">D16</f>
        <v>21272.7272727273</v>
      </c>
      <c r="F16" s="417" t="n">
        <f aca="false">E16</f>
        <v>21272.7272727273</v>
      </c>
      <c r="G16" s="417" t="n">
        <f aca="false">F16</f>
        <v>21272.7272727273</v>
      </c>
      <c r="H16" s="417" t="n">
        <f aca="false">G16</f>
        <v>21272.7272727273</v>
      </c>
      <c r="I16" s="417" t="n">
        <f aca="false">H16</f>
        <v>21272.7272727273</v>
      </c>
      <c r="J16" s="417" t="n">
        <f aca="false">I16</f>
        <v>21272.7272727273</v>
      </c>
      <c r="K16" s="417" t="n">
        <f aca="false">J16</f>
        <v>21272.7272727273</v>
      </c>
      <c r="L16" s="417" t="n">
        <f aca="false">K16</f>
        <v>21272.7272727273</v>
      </c>
      <c r="M16" s="417" t="n">
        <f aca="false">L16</f>
        <v>21272.7272727273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407</v>
      </c>
      <c r="B17" s="417" t="n">
        <f aca="false">+'Compte d''exploitation'!B14/12</f>
        <v>80743.0555555556</v>
      </c>
      <c r="C17" s="417" t="n">
        <f aca="false">B17</f>
        <v>80743.0555555556</v>
      </c>
      <c r="D17" s="417" t="n">
        <f aca="false">C17</f>
        <v>80743.0555555556</v>
      </c>
      <c r="E17" s="417" t="n">
        <f aca="false">D17</f>
        <v>80743.0555555556</v>
      </c>
      <c r="F17" s="417" t="n">
        <f aca="false">E17</f>
        <v>80743.0555555556</v>
      </c>
      <c r="G17" s="417" t="n">
        <f aca="false">F17</f>
        <v>80743.0555555556</v>
      </c>
      <c r="H17" s="417" t="n">
        <f aca="false">G17</f>
        <v>80743.0555555556</v>
      </c>
      <c r="I17" s="417" t="n">
        <f aca="false">H17</f>
        <v>80743.0555555556</v>
      </c>
      <c r="J17" s="417" t="n">
        <f aca="false">I17</f>
        <v>80743.0555555556</v>
      </c>
      <c r="K17" s="417" t="n">
        <f aca="false">J17</f>
        <v>80743.0555555556</v>
      </c>
      <c r="L17" s="417" t="n">
        <f aca="false">K17</f>
        <v>80743.0555555556</v>
      </c>
      <c r="M17" s="417" t="n">
        <f aca="false">L17</f>
        <v>80743.0555555556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408</v>
      </c>
      <c r="B18" s="351" t="n">
        <f aca="false">SUM(B11:B17)</f>
        <v>490265.782828283</v>
      </c>
      <c r="C18" s="351" t="n">
        <f aca="false">SUM(C11:C17)</f>
        <v>490265.782828283</v>
      </c>
      <c r="D18" s="351" t="n">
        <f aca="false">SUM(D11:D17)</f>
        <v>490265.782828283</v>
      </c>
      <c r="E18" s="351" t="n">
        <f aca="false">SUM(E11:E17)</f>
        <v>490265.782828283</v>
      </c>
      <c r="F18" s="351" t="n">
        <f aca="false">SUM(F11:F17)</f>
        <v>490265.782828283</v>
      </c>
      <c r="G18" s="351" t="n">
        <f aca="false">SUM(G11:G17)</f>
        <v>490265.782828283</v>
      </c>
      <c r="H18" s="351" t="n">
        <f aca="false">SUM(H11:H17)</f>
        <v>490265.782828283</v>
      </c>
      <c r="I18" s="351" t="n">
        <f aca="false">SUM(I11:I17)</f>
        <v>490265.782828283</v>
      </c>
      <c r="J18" s="351" t="n">
        <f aca="false">SUM(J11:J17)</f>
        <v>490265.782828283</v>
      </c>
      <c r="K18" s="351" t="n">
        <f aca="false">SUM(K11:K17)</f>
        <v>490265.782828283</v>
      </c>
      <c r="L18" s="351" t="n">
        <f aca="false">SUM(L11:L17)</f>
        <v>490265.782828283</v>
      </c>
      <c r="M18" s="351" t="n">
        <f aca="false">SUM(M11:M17)</f>
        <v>490265.782828283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409</v>
      </c>
      <c r="B20" s="425" t="n">
        <f aca="false">B9-B18</f>
        <v>126400.883838384</v>
      </c>
      <c r="C20" s="425" t="n">
        <f aca="false">C9-C18</f>
        <v>126400.883838384</v>
      </c>
      <c r="D20" s="425" t="n">
        <f aca="false">D9-D18</f>
        <v>126400.883838384</v>
      </c>
      <c r="E20" s="425" t="n">
        <f aca="false">E9-E18</f>
        <v>126400.883838384</v>
      </c>
      <c r="F20" s="425" t="n">
        <f aca="false">F9-F18</f>
        <v>126400.883838384</v>
      </c>
      <c r="G20" s="425" t="n">
        <f aca="false">G9-G18</f>
        <v>126400.883838384</v>
      </c>
      <c r="H20" s="425" t="n">
        <f aca="false">H9-H18</f>
        <v>126400.883838384</v>
      </c>
      <c r="I20" s="425" t="n">
        <f aca="false">I9-I18</f>
        <v>126400.883838384</v>
      </c>
      <c r="J20" s="425" t="n">
        <f aca="false">J9-J18</f>
        <v>126400.883838384</v>
      </c>
      <c r="K20" s="425" t="n">
        <f aca="false">K9-K18</f>
        <v>126400.883838384</v>
      </c>
      <c r="L20" s="425" t="n">
        <f aca="false">L9-L18</f>
        <v>126400.883838384</v>
      </c>
      <c r="M20" s="425" t="n">
        <f aca="false">M9-M18</f>
        <v>126400.883838384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410</v>
      </c>
      <c r="B23" s="425" t="n">
        <f aca="false">B20-B21</f>
        <v>126400.883838384</v>
      </c>
      <c r="C23" s="425" t="n">
        <f aca="false">C20-C21</f>
        <v>126400.883838384</v>
      </c>
      <c r="D23" s="425" t="n">
        <f aca="false">D20-D21</f>
        <v>126400.883838384</v>
      </c>
      <c r="E23" s="425" t="n">
        <f aca="false">E20-E21</f>
        <v>126400.883838384</v>
      </c>
      <c r="F23" s="425" t="n">
        <f aca="false">F20-F21</f>
        <v>126400.883838384</v>
      </c>
      <c r="G23" s="425" t="n">
        <f aca="false">G20-G21</f>
        <v>126400.883838384</v>
      </c>
      <c r="H23" s="425" t="n">
        <f aca="false">H20-H21</f>
        <v>126400.883838384</v>
      </c>
      <c r="I23" s="425" t="n">
        <f aca="false">I20-I21</f>
        <v>126400.883838384</v>
      </c>
      <c r="J23" s="425" t="n">
        <f aca="false">J20-J21</f>
        <v>126400.883838384</v>
      </c>
      <c r="K23" s="425" t="n">
        <f aca="false">K20-K21</f>
        <v>126400.883838384</v>
      </c>
      <c r="L23" s="425" t="n">
        <f aca="false">L20-L21</f>
        <v>126400.883838384</v>
      </c>
      <c r="M23" s="425" t="n">
        <f aca="false">M20-M21</f>
        <v>126400.883838384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411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412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413</v>
      </c>
      <c r="B4" s="434"/>
      <c r="C4" s="435" t="n">
        <f aca="false">+D4/D4</f>
        <v>1</v>
      </c>
      <c r="D4" s="436" t="n">
        <f aca="false">+'Coût du projet'!C46</f>
        <v>5000000</v>
      </c>
      <c r="E4" s="273"/>
    </row>
    <row r="5" customFormat="false" ht="15" hidden="false" customHeight="true" outlineLevel="0" collapsed="false">
      <c r="A5" s="437" t="s">
        <v>414</v>
      </c>
      <c r="B5" s="438"/>
      <c r="C5" s="439" t="n">
        <f aca="false">+D5/D4</f>
        <v>0.1</v>
      </c>
      <c r="D5" s="436" t="n">
        <f aca="false">+'Plan Financement'!C7</f>
        <v>500000</v>
      </c>
      <c r="E5" s="273"/>
    </row>
    <row r="6" customFormat="false" ht="15" hidden="false" customHeight="true" outlineLevel="0" collapsed="false">
      <c r="A6" s="437" t="s">
        <v>415</v>
      </c>
      <c r="B6" s="434" t="s">
        <v>416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417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418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419</v>
      </c>
      <c r="B9" s="434" t="s">
        <v>420</v>
      </c>
      <c r="C9" s="439" t="n">
        <f aca="false">+'Plan Financement'!B13</f>
        <v>0.3</v>
      </c>
      <c r="D9" s="436" t="n">
        <f aca="false">+'Plan Financement'!C13</f>
        <v>1500000</v>
      </c>
      <c r="E9" s="273"/>
    </row>
    <row r="10" customFormat="false" ht="15" hidden="false" customHeight="true" outlineLevel="0" collapsed="false">
      <c r="A10" s="437" t="s">
        <v>421</v>
      </c>
      <c r="B10" s="434" t="s">
        <v>422</v>
      </c>
      <c r="C10" s="439" t="n">
        <f aca="false">+D10/D4</f>
        <v>0.6</v>
      </c>
      <c r="D10" s="436" t="n">
        <f aca="false">+IF('Plan Financement'!B19&lt;36,0,'Plan Financement'!C15)</f>
        <v>3000000</v>
      </c>
      <c r="E10" s="273"/>
    </row>
    <row r="11" customFormat="false" ht="15" hidden="false" customHeight="true" outlineLevel="0" collapsed="false">
      <c r="A11" s="437"/>
      <c r="B11" s="434" t="s">
        <v>423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424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425</v>
      </c>
      <c r="B13" s="444" t="s">
        <v>426</v>
      </c>
      <c r="C13" s="445" t="s">
        <v>427</v>
      </c>
      <c r="D13" s="445"/>
      <c r="E13" s="273"/>
    </row>
    <row r="14" customFormat="false" ht="15" hidden="false" customHeight="true" outlineLevel="0" collapsed="false">
      <c r="A14" s="433" t="s">
        <v>428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429</v>
      </c>
      <c r="B15" s="434" t="s">
        <v>430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431</v>
      </c>
      <c r="B16" s="434" t="s">
        <v>432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433</v>
      </c>
      <c r="C17" s="445"/>
      <c r="D17" s="445"/>
      <c r="E17" s="273"/>
    </row>
    <row r="18" customFormat="false" ht="15" hidden="false" customHeight="true" outlineLevel="0" collapsed="false">
      <c r="A18" s="440" t="s">
        <v>434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435</v>
      </c>
      <c r="B19" s="449" t="s">
        <v>436</v>
      </c>
      <c r="C19" s="450"/>
      <c r="D19" s="451" t="s">
        <v>379</v>
      </c>
      <c r="E19" s="273"/>
    </row>
    <row r="20" customFormat="false" ht="16.5" hidden="false" customHeight="true" outlineLevel="0" collapsed="false">
      <c r="A20" s="452" t="s">
        <v>437</v>
      </c>
      <c r="B20" s="434" t="s">
        <v>438</v>
      </c>
      <c r="C20" s="453" t="n">
        <f aca="false">+'Eléments du compte d''exploitati'!B12</f>
        <v>7400000</v>
      </c>
      <c r="D20" s="451" t="s">
        <v>379</v>
      </c>
      <c r="E20" s="273"/>
    </row>
    <row r="21" customFormat="false" ht="16.5" hidden="false" customHeight="true" outlineLevel="0" collapsed="false">
      <c r="A21" s="452"/>
      <c r="B21" s="434" t="s">
        <v>439</v>
      </c>
      <c r="C21" s="453" t="n">
        <f aca="false">+'Eléments du compte d''exploitati'!C12</f>
        <v>7548000</v>
      </c>
      <c r="D21" s="451" t="s">
        <v>379</v>
      </c>
      <c r="E21" s="273"/>
    </row>
    <row r="22" customFormat="false" ht="16.5" hidden="false" customHeight="true" outlineLevel="0" collapsed="false">
      <c r="A22" s="452"/>
      <c r="B22" s="434" t="s">
        <v>440</v>
      </c>
      <c r="C22" s="453" t="n">
        <f aca="false">+'Eléments du compte d''exploitati'!D12</f>
        <v>7698960</v>
      </c>
      <c r="D22" s="451" t="s">
        <v>379</v>
      </c>
      <c r="E22" s="273"/>
    </row>
    <row r="23" customFormat="false" ht="16.5" hidden="false" customHeight="true" outlineLevel="0" collapsed="false">
      <c r="A23" s="452" t="s">
        <v>441</v>
      </c>
      <c r="B23" s="434" t="s">
        <v>438</v>
      </c>
      <c r="C23" s="453" t="n">
        <f aca="false">+'Compte d''exploitation'!B20</f>
        <v>1516810.60606061</v>
      </c>
      <c r="D23" s="451" t="s">
        <v>379</v>
      </c>
      <c r="E23" s="273"/>
    </row>
    <row r="24" customFormat="false" ht="16.5" hidden="false" customHeight="true" outlineLevel="0" collapsed="false">
      <c r="A24" s="452"/>
      <c r="B24" s="434" t="s">
        <v>439</v>
      </c>
      <c r="C24" s="453" t="n">
        <f aca="false">+'Compte d''exploitation'!C20</f>
        <v>1525515.15151515</v>
      </c>
      <c r="D24" s="451" t="s">
        <v>379</v>
      </c>
      <c r="E24" s="273"/>
    </row>
    <row r="25" customFormat="false" ht="16.5" hidden="false" customHeight="true" outlineLevel="0" collapsed="false">
      <c r="A25" s="452"/>
      <c r="B25" s="434" t="s">
        <v>440</v>
      </c>
      <c r="C25" s="453" t="n">
        <f aca="false">+'Compte d''exploitation'!D20</f>
        <v>1615768.24242424</v>
      </c>
      <c r="D25" s="451" t="s">
        <v>379</v>
      </c>
      <c r="E25" s="273"/>
    </row>
    <row r="26" customFormat="false" ht="16.5" hidden="false" customHeight="true" outlineLevel="0" collapsed="false">
      <c r="A26" s="452" t="s">
        <v>442</v>
      </c>
      <c r="B26" s="434" t="s">
        <v>438</v>
      </c>
      <c r="C26" s="453" t="n">
        <f aca="false">+'Compte d''exploitation'!B22</f>
        <v>2485727.27272727</v>
      </c>
      <c r="D26" s="451" t="s">
        <v>379</v>
      </c>
      <c r="E26" s="273"/>
    </row>
    <row r="27" customFormat="false" ht="16.5" hidden="false" customHeight="true" outlineLevel="0" collapsed="false">
      <c r="A27" s="452"/>
      <c r="B27" s="434" t="s">
        <v>439</v>
      </c>
      <c r="C27" s="453" t="n">
        <f aca="false">+'Compte d''exploitation'!C22</f>
        <v>2479431.81818182</v>
      </c>
      <c r="D27" s="451" t="s">
        <v>379</v>
      </c>
      <c r="E27" s="273"/>
    </row>
    <row r="28" customFormat="false" ht="16.5" hidden="false" customHeight="true" outlineLevel="0" collapsed="false">
      <c r="A28" s="452"/>
      <c r="B28" s="434" t="s">
        <v>440</v>
      </c>
      <c r="C28" s="453" t="n">
        <f aca="false">+'Compte d''exploitation'!D22</f>
        <v>2569684.90909091</v>
      </c>
      <c r="D28" s="451" t="s">
        <v>379</v>
      </c>
      <c r="E28" s="273"/>
    </row>
    <row r="29" customFormat="false" ht="15" hidden="false" customHeight="true" outlineLevel="0" collapsed="false">
      <c r="A29" s="440" t="s">
        <v>443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444</v>
      </c>
      <c r="B30" s="434"/>
      <c r="C30" s="454" t="n">
        <f aca="false">+'Ratios d''analyse'!B29*100</f>
        <v>48.8970164708823</v>
      </c>
      <c r="D30" s="451" t="s">
        <v>139</v>
      </c>
      <c r="E30" s="273"/>
    </row>
    <row r="31" customFormat="false" ht="15" hidden="false" customHeight="true" outlineLevel="0" collapsed="false">
      <c r="A31" s="437" t="s">
        <v>445</v>
      </c>
      <c r="B31" s="434"/>
      <c r="C31" s="454" t="n">
        <f aca="false">+'Ratios d''analyse'!C17*100</f>
        <v>69.2745799432651</v>
      </c>
      <c r="D31" s="451" t="s">
        <v>139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41.5537443653428</v>
      </c>
      <c r="D32" s="451" t="s">
        <v>139</v>
      </c>
      <c r="E32" s="273"/>
    </row>
    <row r="33" customFormat="false" ht="15" hidden="false" customHeight="true" outlineLevel="0" collapsed="false">
      <c r="A33" s="437" t="s">
        <v>446</v>
      </c>
      <c r="B33" s="434" t="s">
        <v>447</v>
      </c>
      <c r="C33" s="436" t="str">
        <f aca="false">+'Ratios d''analyse'!C36</f>
        <v>2 an(s) et 0 mois</v>
      </c>
      <c r="D33" s="436"/>
      <c r="E33" s="273"/>
    </row>
    <row r="34" customFormat="false" ht="15" hidden="false" customHeight="true" outlineLevel="0" collapsed="false">
      <c r="A34" s="437"/>
      <c r="B34" s="434" t="s">
        <v>448</v>
      </c>
      <c r="C34" s="436" t="str">
        <f aca="false">+'Ratios d''analyse'!C37</f>
        <v>2 an(s) et 3 mois</v>
      </c>
      <c r="D34" s="436"/>
      <c r="E34" s="273"/>
    </row>
    <row r="35" customFormat="false" ht="15" hidden="false" customHeight="true" outlineLevel="0" collapsed="false">
      <c r="A35" s="440" t="s">
        <v>449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450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451</v>
      </c>
      <c r="B37" s="434" t="s">
        <v>452</v>
      </c>
      <c r="C37" s="455" t="s">
        <v>453</v>
      </c>
      <c r="D37" s="451" t="s">
        <v>454</v>
      </c>
      <c r="E37" s="273"/>
    </row>
    <row r="38" customFormat="false" ht="15" hidden="false" customHeight="true" outlineLevel="0" collapsed="false">
      <c r="A38" s="437"/>
      <c r="B38" s="434" t="s">
        <v>96</v>
      </c>
      <c r="C38" s="454" t="n">
        <f aca="false">+'Hypothèse de base'!B38</f>
        <v>2</v>
      </c>
      <c r="D38" s="436" t="n">
        <f aca="false">+'Hypothèse de base'!C38</f>
        <v>0</v>
      </c>
      <c r="E38" s="273"/>
    </row>
    <row r="39" customFormat="false" ht="15.75" hidden="false" customHeight="true" outlineLevel="0" collapsed="false">
      <c r="A39" s="437"/>
      <c r="B39" s="456" t="s">
        <v>97</v>
      </c>
      <c r="C39" s="457" t="n">
        <f aca="false">+'Hypothèse de base'!D38</f>
        <v>3</v>
      </c>
      <c r="D39" s="458" t="n">
        <f aca="false">+'Hypothèse de base'!E38</f>
        <v>0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455</v>
      </c>
      <c r="B2" s="459"/>
      <c r="C2" s="459" t="s">
        <v>456</v>
      </c>
      <c r="D2" s="459"/>
      <c r="E2" s="459"/>
      <c r="F2" s="459"/>
    </row>
    <row r="3" customFormat="false" ht="32.25" hidden="false" customHeight="true" outlineLevel="0" collapsed="false">
      <c r="A3" s="460" t="s">
        <v>457</v>
      </c>
      <c r="B3" s="461" t="s">
        <v>458</v>
      </c>
      <c r="C3" s="462" t="s">
        <v>265</v>
      </c>
      <c r="D3" s="461" t="s">
        <v>139</v>
      </c>
      <c r="E3" s="462" t="s">
        <v>459</v>
      </c>
      <c r="F3" s="463" t="s">
        <v>139</v>
      </c>
    </row>
    <row r="4" customFormat="false" ht="18.75" hidden="false" customHeight="true" outlineLevel="0" collapsed="false">
      <c r="A4" s="464" t="s">
        <v>140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460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461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462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144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145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146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147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463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464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465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466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467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468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146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150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469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470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471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472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112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2026-10-08T00:13:03Z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