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<sst xmlns="http://schemas.openxmlformats.org/spreadsheetml/2006/main" count="667" uniqueCount="456">
  <si>
    <t xml:space="preserve">NOTES DE CORRECTION — Plan d'affaires Issa TRAORÉ (Zéré Délice d'Issa)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</si>
  <si>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</si>
  <si>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</si>
  <si>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</si>
  <si>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</si>
  <si>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</si>
  <si>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</si>
  <si>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</si>
  <si>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</si>
  <si>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</si>
  <si>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</si>
  <si>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</si>
  <si>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</si>
  <si>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</si>
  <si>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</si>
  <si>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</si>
  <si>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</si>
  <si>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</si>
  <si>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</si>
  <si>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</si>
  <si>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</si>
  <si>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</si>
  <si>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</si>
  <si>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</si>
  <si>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</si>
  <si>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</si>
  <si>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</si>
  <si>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</si>
  <si>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</si>
  <si>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</si>
  <si>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</si>
  <si>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</si>
  <si>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</si>
  <si>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</si>
  <si>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</si>
  <si>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</si>
  <si>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</si>
  <si>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</si>
  <si>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</si>
  <si>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</si>
  <si>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</si>
  <si>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</si>
  <si>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</si>
  <si>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</si>
  <si>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</si>
  <si>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</si>
  <si>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</si>
  <si>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</si>
  <si>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</si>
  <si>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</si>
  <si>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</si>
  <si>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</si>
  <si>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</si>
  <si>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</si>
  <si>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</si>
  <si>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</si>
  <si>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</si>
  <si>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Semence pastèque</t>
  </si>
  <si>
    <t xml:space="preserve">Boîte</t>
  </si>
  <si>
    <t xml:space="preserve">Engrais NPK 50 kg</t>
  </si>
  <si>
    <t xml:space="preserve">Sac</t>
  </si>
  <si>
    <t xml:space="preserve">Intrant Urée 50 kg</t>
  </si>
  <si>
    <t xml:space="preserve">Fongicide + insecticide</t>
  </si>
  <si>
    <t xml:space="preserve">Fumure organique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</si>
  <si>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</si>
  <si>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</si>
  <si>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</si>
  <si>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</si>
  <si>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Emballages (sacs, caisses)</t>
  </si>
  <si>
    <t xml:space="preserve">Lot</t>
  </si>
  <si>
    <t xml:space="preserve">Eau d'irrigation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</si>
  <si>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</si>
  <si>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</si>
  <si>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</si>
  <si>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</si>
  <si>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</si>
  <si>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</si>
  <si>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</si>
  <si>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</si>
  <si>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</si>
  <si>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</si>
  <si>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Issa TRAORÉ - Promoteur</t>
  </si>
  <si>
    <t xml:space="preserve">Agronome</t>
  </si>
  <si>
    <t xml:space="preserve">Ouvriers saisonniers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</si>
  <si>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</si>
  <si>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</si>
  <si>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</si>
  <si>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</si>
  <si>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</si>
  <si>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</si>
  <si>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</si>
  <si>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</si>
  <si>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Aménagement préparatoire</t>
  </si>
  <si>
    <t xml:space="preserve">Formation des billons</t>
  </si>
  <si>
    <t xml:space="preserve">Système goutte-à-goutte</t>
  </si>
  <si>
    <t xml:space="preserve">Pompe solaire</t>
  </si>
  <si>
    <t xml:space="preserve">Panneaux solaires</t>
  </si>
  <si>
    <t xml:space="preserve">Tuyaux, vannes, pulvérisateur</t>
  </si>
  <si>
    <t xml:space="preserve">2.3	Mobiliers et matériels</t>
  </si>
  <si>
    <t xml:space="preserve">Balance</t>
  </si>
  <si>
    <t xml:space="preserve">Petit matériel divers (1 lot)</t>
  </si>
  <si>
    <t xml:space="preserve">2.4 Equipements de production</t>
  </si>
  <si>
    <t xml:space="preserve">Paillage en plastique</t>
  </si>
  <si>
    <t xml:space="preserve">Pulvérisateurs</t>
  </si>
  <si>
    <t xml:space="preserve">Brouettes + Houes</t>
  </si>
  <si>
    <t xml:space="preserve">P 17 (2000 m)</t>
  </si>
  <si>
    <t xml:space="preserve">Outils divers (dabas, pioches, pelles)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</si>
  <si>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</si>
  <si>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</si>
  <si>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</si>
  <si>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</si>
  <si>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</si>
  <si>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Communication / publicité</t>
  </si>
  <si>
    <t xml:space="preserve">III. DONNEES PREVISIONNELES SUR LES RECETTES</t>
  </si>
  <si>
    <t xml:space="preserve">2.2. VENTES DE PRODUITS</t>
  </si>
  <si>
    <t xml:space="preserve">Vente pastèque gros calibre (6-8 kg)</t>
  </si>
  <si>
    <t xml:space="preserve">Kg</t>
  </si>
  <si>
    <t xml:space="preserve">Vente pastèque moyen calibre (4-5 kg)</t>
  </si>
  <si>
    <t xml:space="preserve">Vente pastèque petit calibre (2-3 kg)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</si>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</sst>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3</v>
      </c>
      <c r="H7" s="20" t="n">
        <v>70000</v>
      </c>
      <c r="I7" s="21" t="n">
        <f aca="false">G7*H7</f>
        <v>210000</v>
      </c>
      <c r="J7" s="10"/>
    </row>
    <row r="8" customFormat="false" ht="12.75" hidden="false" customHeight="true" outlineLevel="0" collapsed="false">
      <c r="A8" s="17" t="s">
        <v>59</v>
      </c>
      <c r="B8" s="18" t="s">
        <v>60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10</v>
      </c>
      <c r="H8" s="20" t="n">
        <v>25000</v>
      </c>
      <c r="I8" s="21" t="n">
        <f aca="false">G8*H8</f>
        <v>250000</v>
      </c>
      <c r="J8" s="10"/>
    </row>
    <row r="9" customFormat="false" ht="12.75" hidden="false" customHeight="true" outlineLevel="0" collapsed="false">
      <c r="A9" s="17" t="s">
        <v>61</v>
      </c>
      <c r="B9" s="18" t="s">
        <v>60</v>
      </c>
      <c r="C9" s="18"/>
      <c r="D9" s="18"/>
      <c r="E9" s="18"/>
      <c r="F9" s="18" t="n">
        <v>0</v>
      </c>
      <c r="G9" s="19" t="n">
        <v>5</v>
      </c>
      <c r="H9" s="20" t="n">
        <v>20000</v>
      </c>
      <c r="I9" s="21" t="n">
        <f aca="false">G9*H9</f>
        <v>100000</v>
      </c>
      <c r="J9" s="10"/>
    </row>
    <row r="10" customFormat="false" ht="12.75" hidden="false" customHeight="true" outlineLevel="0" collapsed="false">
      <c r="A10" s="17" t="s">
        <v>62</v>
      </c>
      <c r="B10" s="18" t="s">
        <v>58</v>
      </c>
      <c r="C10" s="18"/>
      <c r="D10" s="18"/>
      <c r="E10" s="18" t="n">
        <v>0</v>
      </c>
      <c r="F10" s="18" t="n">
        <v>0</v>
      </c>
      <c r="G10" s="19" t="n">
        <v>3</v>
      </c>
      <c r="H10" s="20" t="n">
        <v>60000</v>
      </c>
      <c r="I10" s="21" t="n">
        <f aca="false">G10*H10</f>
        <v>180000</v>
      </c>
      <c r="J10" s="10"/>
    </row>
    <row r="11" customFormat="false" ht="12.75" hidden="false" customHeight="true" outlineLevel="0" collapsed="false">
      <c r="A11" s="17" t="s">
        <v>63</v>
      </c>
      <c r="B11" s="18" t="s">
        <v>60</v>
      </c>
      <c r="C11" s="18" t="n">
        <v>0</v>
      </c>
      <c r="D11" s="18"/>
      <c r="E11" s="18"/>
      <c r="F11" s="18" t="n">
        <v>0</v>
      </c>
      <c r="G11" s="19" t="n">
        <v>40</v>
      </c>
      <c r="H11" s="20" t="n">
        <v>1000</v>
      </c>
      <c r="I11" s="21" t="n">
        <f aca="false">G11*H11</f>
        <v>40000</v>
      </c>
      <c r="J11" s="10"/>
    </row>
    <row r="12" customFormat="false" ht="12.75" hidden="false" customHeight="true" outlineLevel="0" collapsed="false">
      <c r="A12" s="22" t="n">
        <v>0</v>
      </c>
      <c r="B12" s="23" t="n">
        <v>0</v>
      </c>
      <c r="C12" s="18"/>
      <c r="D12" s="18"/>
      <c r="E12" s="18" t="n">
        <v>0</v>
      </c>
      <c r="F12" s="18" t="n">
        <v>0</v>
      </c>
      <c r="G12" s="19" t="n">
        <f aca="false">F12*4</f>
        <v>0</v>
      </c>
      <c r="H12" s="20" t="n">
        <v>0</v>
      </c>
      <c r="I12" s="21" t="n">
        <f aca="false">G12*H12</f>
        <v>0</v>
      </c>
      <c r="J12" s="10"/>
    </row>
    <row r="13" customFormat="false" ht="12.75" hidden="false" customHeight="true" outlineLevel="0" collapsed="false">
      <c r="A13" s="24" t="s">
        <v>64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780000</v>
      </c>
      <c r="J13" s="10"/>
      <c r="K13" s="9" t="n">
        <f aca="false">I13/12</f>
        <v>65000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195000</v>
      </c>
    </row>
    <row r="15" customFormat="false" ht="12.75" hidden="false" customHeight="true" outlineLevel="0" collapsed="false">
      <c r="A15" s="13" t="s">
        <v>65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65000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66</v>
      </c>
      <c r="B18" s="18" t="s">
        <v>67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250000</v>
      </c>
      <c r="I18" s="21" t="n">
        <f aca="false">G18*H18</f>
        <v>250000</v>
      </c>
      <c r="J18" s="10"/>
    </row>
    <row r="19" customFormat="false" ht="12.75" hidden="false" customHeight="true" outlineLevel="0" collapsed="false">
      <c r="A19" s="17" t="s">
        <v>68</v>
      </c>
      <c r="B19" s="18" t="s">
        <v>69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100000</v>
      </c>
      <c r="I19" s="21" t="n">
        <f aca="false">G19*H19</f>
        <v>100000</v>
      </c>
      <c r="J19" s="10"/>
      <c r="L19" s="27"/>
    </row>
    <row r="20" customFormat="false" ht="12.75" hidden="false" customHeight="true" outlineLevel="0" collapsed="false">
      <c r="A20" s="17" t="s">
        <v>70</v>
      </c>
      <c r="B20" s="18" t="s">
        <v>67</v>
      </c>
      <c r="C20" s="18"/>
      <c r="D20" s="18"/>
      <c r="E20" s="18"/>
      <c r="F20" s="18"/>
      <c r="G20" s="19" t="n">
        <v>1</v>
      </c>
      <c r="H20" s="20" t="n">
        <v>50000</v>
      </c>
      <c r="I20" s="21" t="n">
        <f aca="false">G20*H20</f>
        <v>50000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64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400000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71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72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73</v>
      </c>
      <c r="B30" s="32" t="s">
        <v>74</v>
      </c>
      <c r="C30" s="32"/>
      <c r="D30" s="32" t="s">
        <v>75</v>
      </c>
      <c r="E30" s="32"/>
      <c r="F30" s="32" t="s">
        <v>76</v>
      </c>
      <c r="G30" s="32" t="s">
        <v>77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78</v>
      </c>
      <c r="C31" s="32" t="s">
        <v>79</v>
      </c>
      <c r="D31" s="32" t="s">
        <v>78</v>
      </c>
      <c r="E31" s="32" t="s">
        <v>79</v>
      </c>
      <c r="F31" s="32"/>
      <c r="G31" s="32"/>
      <c r="H31" s="32" t="s">
        <v>80</v>
      </c>
      <c r="I31" s="12"/>
      <c r="J31" s="10"/>
    </row>
    <row r="32" customFormat="false" ht="12.75" hidden="false" customHeight="true" outlineLevel="0" collapsed="false">
      <c r="A32" s="33" t="s">
        <v>81</v>
      </c>
      <c r="B32" s="34" t="n">
        <v>1</v>
      </c>
      <c r="C32" s="34" t="n">
        <v>0</v>
      </c>
      <c r="D32" s="34" t="n">
        <v>0</v>
      </c>
      <c r="E32" s="34" t="n">
        <v>0</v>
      </c>
      <c r="F32" s="23" t="n">
        <v>50000</v>
      </c>
      <c r="G32" s="23" t="n">
        <v>12</v>
      </c>
      <c r="H32" s="34" t="n">
        <f aca="false">+G32*F32*SUM(B32:E32)</f>
        <v>600000</v>
      </c>
      <c r="I32" s="12"/>
      <c r="J32" s="10"/>
    </row>
    <row r="33" customFormat="false" ht="12.75" hidden="false" customHeight="true" outlineLevel="0" collapsed="false">
      <c r="A33" s="35" t="s">
        <v>82</v>
      </c>
      <c r="B33" s="34" t="n">
        <v>1</v>
      </c>
      <c r="C33" s="34" t="n">
        <v>0</v>
      </c>
      <c r="D33" s="34" t="n">
        <v>0</v>
      </c>
      <c r="E33" s="34" t="n">
        <v>0</v>
      </c>
      <c r="F33" s="23" t="n">
        <v>50000</v>
      </c>
      <c r="G33" s="23" t="n">
        <v>12</v>
      </c>
      <c r="H33" s="34" t="n">
        <f aca="false">+G33*F33*SUM(B33:E33)</f>
        <v>600000</v>
      </c>
      <c r="I33" s="12"/>
      <c r="J33" s="10"/>
    </row>
    <row r="34" customFormat="false" ht="12.75" hidden="false" customHeight="true" outlineLevel="0" collapsed="false">
      <c r="A34" s="35" t="s">
        <v>83</v>
      </c>
      <c r="B34" s="34" t="n">
        <v>0</v>
      </c>
      <c r="C34" s="34" t="n">
        <v>0</v>
      </c>
      <c r="D34" s="34" t="n">
        <v>3</v>
      </c>
      <c r="E34" s="34" t="n">
        <v>0</v>
      </c>
      <c r="F34" s="23" t="n">
        <v>50000</v>
      </c>
      <c r="G34" s="23" t="n">
        <v>6</v>
      </c>
      <c r="H34" s="34" t="n">
        <f aca="false">+G34*F34*SUM(B34:E34)</f>
        <v>900000</v>
      </c>
      <c r="I34" s="12"/>
      <c r="J34" s="10"/>
      <c r="M34" s="9" t="n">
        <f aca="false">H38/12</f>
        <v>175000</v>
      </c>
    </row>
    <row r="35" customFormat="false" ht="12.75" hidden="false" customHeight="true" outlineLevel="0" collapsed="false">
      <c r="A35" s="35"/>
      <c r="B35" s="34" t="n">
        <v>0</v>
      </c>
      <c r="C35" s="34" t="n">
        <v>0</v>
      </c>
      <c r="D35" s="34" t="n">
        <v>0</v>
      </c>
      <c r="E35" s="34" t="n">
        <v>0</v>
      </c>
      <c r="F35" s="23" t="n">
        <v>0</v>
      </c>
      <c r="G35" s="23" t="n">
        <v>0</v>
      </c>
      <c r="H35" s="34" t="n">
        <f aca="false">+G35*F35*SUM(B35:E35)</f>
        <v>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84</v>
      </c>
      <c r="B38" s="37" t="n">
        <f aca="false">SUM(B32:B37)</f>
        <v>2</v>
      </c>
      <c r="C38" s="37" t="n">
        <f aca="false">SUM(C32:C37)</f>
        <v>0</v>
      </c>
      <c r="D38" s="37" t="n">
        <f aca="false">SUM(D32:D37)</f>
        <v>3</v>
      </c>
      <c r="E38" s="37" t="n">
        <f aca="false">SUM(E32:E37)</f>
        <v>0</v>
      </c>
      <c r="F38" s="37"/>
      <c r="G38" s="37"/>
      <c r="H38" s="38" t="n">
        <f aca="false">SUM(H32:H37)</f>
        <v>2100000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85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86</v>
      </c>
      <c r="B42" s="40" t="s">
        <v>87</v>
      </c>
      <c r="C42" s="40" t="s">
        <v>88</v>
      </c>
      <c r="D42" s="41" t="s">
        <v>89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90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91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86</v>
      </c>
      <c r="B53" s="40" t="s">
        <v>87</v>
      </c>
      <c r="C53" s="40" t="s">
        <v>88</v>
      </c>
      <c r="D53" s="41" t="s">
        <v>89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92</v>
      </c>
      <c r="B54" s="49" t="n">
        <v>1</v>
      </c>
      <c r="C54" s="50" t="n">
        <v>45000</v>
      </c>
      <c r="D54" s="50" t="n">
        <f aca="false">+B54*C54</f>
        <v>45000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93</v>
      </c>
      <c r="B55" s="49" t="n">
        <v>1</v>
      </c>
      <c r="C55" s="50" t="n">
        <v>60000</v>
      </c>
      <c r="D55" s="50" t="n">
        <f aca="false">+B55*C55</f>
        <v>60000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94</v>
      </c>
      <c r="B56" s="51" t="n">
        <v>1</v>
      </c>
      <c r="C56" s="51" t="n">
        <v>500000</v>
      </c>
      <c r="D56" s="51" t="n">
        <f aca="false">+B56*C56</f>
        <v>500000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 t="s">
        <v>95</v>
      </c>
      <c r="B57" s="51" t="n">
        <v>1</v>
      </c>
      <c r="C57" s="51" t="n">
        <v>1200000</v>
      </c>
      <c r="D57" s="51" t="n">
        <f aca="false">+B57*C57</f>
        <v>1200000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 t="s">
        <v>96</v>
      </c>
      <c r="B58" s="51" t="n">
        <v>1</v>
      </c>
      <c r="C58" s="23" t="n">
        <v>800000</v>
      </c>
      <c r="D58" s="43" t="n">
        <f aca="false">+B58*C58</f>
        <v>800000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 t="s">
        <v>97</v>
      </c>
      <c r="B59" s="23" t="n">
        <v>1</v>
      </c>
      <c r="C59" s="23" t="n">
        <v>500000</v>
      </c>
      <c r="D59" s="43" t="n">
        <f aca="false">+B59*C59</f>
        <v>500000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3105000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98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86</v>
      </c>
      <c r="B67" s="40" t="s">
        <v>87</v>
      </c>
      <c r="C67" s="40" t="s">
        <v>88</v>
      </c>
      <c r="D67" s="41" t="s">
        <v>89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 t="s">
        <v>99</v>
      </c>
      <c r="B68" s="23" t="n">
        <v>1</v>
      </c>
      <c r="C68" s="23" t="n">
        <v>20000</v>
      </c>
      <c r="D68" s="43" t="n">
        <f aca="false">+B68*C68</f>
        <v>20000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 t="s">
        <v>100</v>
      </c>
      <c r="B69" s="23" t="n">
        <v>1</v>
      </c>
      <c r="C69" s="23" t="n">
        <v>60000</v>
      </c>
      <c r="D69" s="43" t="n">
        <f aca="false">+B69*C69</f>
        <v>60000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/>
      <c r="B70" s="23" t="n">
        <v>0</v>
      </c>
      <c r="C70" s="23" t="n">
        <v>0</v>
      </c>
      <c r="D70" s="43" t="n">
        <f aca="false">+B70*C70</f>
        <v>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90</v>
      </c>
      <c r="B73" s="46"/>
      <c r="C73" s="46"/>
      <c r="D73" s="47" t="n">
        <f aca="false">+SUM(D68:D72)</f>
        <v>80000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101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86</v>
      </c>
      <c r="B77" s="40" t="s">
        <v>87</v>
      </c>
      <c r="C77" s="40" t="s">
        <v>88</v>
      </c>
      <c r="D77" s="41" t="s">
        <v>89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102</v>
      </c>
      <c r="B78" s="23" t="n">
        <v>1</v>
      </c>
      <c r="C78" s="23" t="n">
        <v>200000</v>
      </c>
      <c r="D78" s="43" t="n">
        <f aca="false">+B78*C78</f>
        <v>200000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103</v>
      </c>
      <c r="B79" s="23" t="n">
        <v>2</v>
      </c>
      <c r="C79" s="23" t="n">
        <v>25000</v>
      </c>
      <c r="D79" s="43" t="n">
        <f aca="false">+B79*C79</f>
        <v>50000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104</v>
      </c>
      <c r="B80" s="23" t="n">
        <v>2</v>
      </c>
      <c r="C80" s="23" t="n">
        <v>20000</v>
      </c>
      <c r="D80" s="43" t="n">
        <f aca="false">+B80*C80</f>
        <v>40000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105</v>
      </c>
      <c r="B81" s="23" t="n">
        <v>1</v>
      </c>
      <c r="C81" s="23" t="n">
        <v>150000</v>
      </c>
      <c r="D81" s="43" t="n">
        <f aca="false">+B81*C81</f>
        <v>150000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106</v>
      </c>
      <c r="B82" s="23" t="n">
        <v>1</v>
      </c>
      <c r="C82" s="23" t="n">
        <v>45000</v>
      </c>
      <c r="D82" s="43" t="n">
        <f aca="false">+B82*C82</f>
        <v>45000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/>
      <c r="B83" s="23" t="n">
        <v>0</v>
      </c>
      <c r="C83" s="23" t="n">
        <v>0</v>
      </c>
      <c r="D83" s="43" t="n">
        <f aca="false">+B83*C83</f>
        <v>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/>
      <c r="B84" s="23" t="n">
        <v>0</v>
      </c>
      <c r="C84" s="23" t="n">
        <v>0</v>
      </c>
      <c r="D84" s="43" t="n">
        <f aca="false">+B84*C84</f>
        <v>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90</v>
      </c>
      <c r="B85" s="46"/>
      <c r="C85" s="46"/>
      <c r="D85" s="47" t="n">
        <f aca="false">+SUM(D78:D84)</f>
        <v>485000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107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86</v>
      </c>
      <c r="B90" s="55" t="s">
        <v>49</v>
      </c>
      <c r="C90" s="55" t="s">
        <v>108</v>
      </c>
      <c r="D90" s="55" t="s">
        <v>109</v>
      </c>
      <c r="E90" s="56" t="s">
        <v>88</v>
      </c>
      <c r="F90" s="57" t="s">
        <v>110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111</v>
      </c>
      <c r="B91" s="23" t="s">
        <v>49</v>
      </c>
      <c r="C91" s="23" t="n">
        <v>1</v>
      </c>
      <c r="D91" s="59" t="n">
        <v>12</v>
      </c>
      <c r="E91" s="23" t="n">
        <v>12500</v>
      </c>
      <c r="F91" s="23" t="n">
        <f aca="false">+E91*D91</f>
        <v>150000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112</v>
      </c>
      <c r="B92" s="23" t="s">
        <v>49</v>
      </c>
      <c r="C92" s="23" t="n">
        <v>1</v>
      </c>
      <c r="D92" s="59" t="n">
        <v>12</v>
      </c>
      <c r="E92" s="23" t="n">
        <f aca="false">100000/12</f>
        <v>8333.33333333333</v>
      </c>
      <c r="F92" s="23" t="n">
        <f aca="false">+E92*D92</f>
        <v>100000</v>
      </c>
      <c r="G92" s="12"/>
      <c r="H92" s="12"/>
      <c r="I92" s="12"/>
      <c r="J92" s="10"/>
    </row>
    <row r="93" customFormat="false" ht="12.75" hidden="false" customHeight="true" outlineLevel="0" collapsed="false">
      <c r="A93" s="58"/>
      <c r="B93" s="23" t="n">
        <v>0</v>
      </c>
      <c r="C93" s="23" t="n">
        <v>0</v>
      </c>
      <c r="D93" s="59" t="n">
        <v>0</v>
      </c>
      <c r="E93" s="23" t="n">
        <v>0</v>
      </c>
      <c r="F93" s="23" t="n">
        <f aca="false">+E93*D93</f>
        <v>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90</v>
      </c>
      <c r="B98" s="60"/>
      <c r="C98" s="60"/>
      <c r="D98" s="60"/>
      <c r="E98" s="60"/>
      <c r="F98" s="61" t="n">
        <f aca="false">+SUM(F91:F97)</f>
        <v>250000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113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114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115</v>
      </c>
      <c r="B106" s="18" t="s">
        <v>116</v>
      </c>
      <c r="C106" s="18" t="n">
        <v>0</v>
      </c>
      <c r="D106" s="18" t="n">
        <v>0</v>
      </c>
      <c r="E106" s="18" t="n">
        <f aca="false">C106*25</f>
        <v>0</v>
      </c>
      <c r="F106" s="18" t="n">
        <v>3000</v>
      </c>
      <c r="G106" s="62" t="n">
        <v>12000</v>
      </c>
      <c r="H106" s="63" t="n">
        <v>200</v>
      </c>
      <c r="I106" s="64" t="n">
        <f aca="false">+H106*G106</f>
        <v>2400000</v>
      </c>
      <c r="J106" s="10"/>
    </row>
    <row r="107" customFormat="false" ht="12.75" hidden="false" customHeight="true" outlineLevel="0" collapsed="false">
      <c r="A107" s="17" t="s">
        <v>117</v>
      </c>
      <c r="B107" s="18" t="s">
        <v>116</v>
      </c>
      <c r="C107" s="18" t="n">
        <v>0</v>
      </c>
      <c r="D107" s="18" t="n">
        <v>0</v>
      </c>
      <c r="E107" s="18"/>
      <c r="F107" s="18" t="n">
        <v>3000</v>
      </c>
      <c r="G107" s="62" t="n">
        <v>12000</v>
      </c>
      <c r="H107" s="20" t="n">
        <v>200</v>
      </c>
      <c r="I107" s="64" t="n">
        <f aca="false">+H107*G107</f>
        <v>2400000</v>
      </c>
      <c r="J107" s="10"/>
    </row>
    <row r="108" customFormat="false" ht="12.75" hidden="false" customHeight="true" outlineLevel="0" collapsed="false">
      <c r="A108" s="17" t="s">
        <v>118</v>
      </c>
      <c r="B108" s="18" t="s">
        <v>116</v>
      </c>
      <c r="C108" s="18" t="n">
        <v>0</v>
      </c>
      <c r="D108" s="18" t="n">
        <v>0</v>
      </c>
      <c r="E108" s="18" t="n">
        <v>0</v>
      </c>
      <c r="F108" s="18" t="n">
        <v>1500</v>
      </c>
      <c r="G108" s="62" t="n">
        <v>6000</v>
      </c>
      <c r="H108" s="20" t="n">
        <v>200</v>
      </c>
      <c r="I108" s="64" t="n">
        <f aca="false">+H108*G108</f>
        <v>1200000</v>
      </c>
      <c r="J108" s="10"/>
    </row>
    <row r="109" customFormat="false" ht="12.75" hidden="false" customHeight="true" outlineLevel="0" collapsed="false">
      <c r="A109" s="17"/>
      <c r="B109" s="18"/>
      <c r="C109" s="18" t="n">
        <v>0</v>
      </c>
      <c r="D109" s="18" t="n">
        <f aca="false">E109/4</f>
        <v>0</v>
      </c>
      <c r="E109" s="18" t="n">
        <v>0</v>
      </c>
      <c r="F109" s="18" t="n">
        <v>0</v>
      </c>
      <c r="G109" s="62" t="n">
        <v>0</v>
      </c>
      <c r="H109" s="20" t="n">
        <v>0</v>
      </c>
      <c r="I109" s="64" t="n">
        <f aca="false">+H109*G109</f>
        <v>0</v>
      </c>
      <c r="J109" s="10"/>
    </row>
    <row r="110" customFormat="false" ht="12.75" hidden="false" customHeight="true" outlineLevel="0" collapsed="false">
      <c r="A110" s="17"/>
      <c r="B110" s="18"/>
      <c r="C110" s="18"/>
      <c r="D110" s="18"/>
      <c r="E110" s="18"/>
      <c r="F110" s="18" t="n">
        <v>0</v>
      </c>
      <c r="G110" s="62" t="n">
        <v>0</v>
      </c>
      <c r="H110" s="20" t="n">
        <v>0</v>
      </c>
      <c r="I110" s="64" t="n">
        <f aca="false">+H110*G110</f>
        <v>0</v>
      </c>
      <c r="J110" s="10"/>
    </row>
    <row r="111" customFormat="false" ht="12.75" hidden="false" customHeight="true" outlineLevel="0" collapsed="false">
      <c r="A111" s="17"/>
      <c r="B111" s="18"/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64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6000000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119</v>
      </c>
      <c r="B2" s="71" t="s">
        <v>120</v>
      </c>
      <c r="C2" s="71"/>
      <c r="D2" s="72" t="s">
        <v>121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122</v>
      </c>
      <c r="B4" s="77"/>
      <c r="C4" s="77" t="n">
        <f aca="false">SUM(B5:B10)</f>
        <v>15000</v>
      </c>
      <c r="D4" s="78" t="n">
        <f aca="false">C4/$C$46</f>
        <v>0.003</v>
      </c>
      <c r="E4" s="68"/>
    </row>
    <row r="5" customFormat="false" ht="15" hidden="false" customHeight="true" outlineLevel="0" collapsed="false">
      <c r="A5" s="79" t="s">
        <v>123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124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125</v>
      </c>
      <c r="B7" s="80" t="n">
        <v>15000</v>
      </c>
      <c r="C7" s="80"/>
      <c r="D7" s="81"/>
      <c r="E7" s="68"/>
    </row>
    <row r="8" customFormat="false" ht="15" hidden="false" customHeight="true" outlineLevel="0" collapsed="false">
      <c r="A8" s="79" t="s">
        <v>126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127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128</v>
      </c>
      <c r="B10" s="80"/>
      <c r="C10" s="80"/>
      <c r="D10" s="81"/>
      <c r="E10" s="68"/>
    </row>
    <row r="11" customFormat="false" ht="18" hidden="false" customHeight="true" outlineLevel="0" collapsed="false">
      <c r="A11" s="76" t="s">
        <v>129</v>
      </c>
      <c r="B11" s="77"/>
      <c r="C11" s="77" t="n">
        <f aca="false">B12+B19+B28+B34</f>
        <v>3670000</v>
      </c>
      <c r="D11" s="78" t="n">
        <f aca="false">C11/$C$46</f>
        <v>0.734</v>
      </c>
      <c r="E11" s="68"/>
    </row>
    <row r="12" customFormat="false" ht="15.75" hidden="false" customHeight="true" outlineLevel="0" collapsed="false">
      <c r="A12" s="82" t="s">
        <v>130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131</v>
      </c>
      <c r="B19" s="83" t="n">
        <f aca="false">SUM(B20:B27)</f>
        <v>3105000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Aménagement préparatoire</v>
      </c>
      <c r="B20" s="80" t="n">
        <f aca="false">+'Hypothèse de base'!D54</f>
        <v>45000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Formation des billons</v>
      </c>
      <c r="B21" s="80" t="n">
        <f aca="false">+'Hypothèse de base'!D55</f>
        <v>60000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Système goutte-à-goutte</v>
      </c>
      <c r="B22" s="80" t="n">
        <f aca="false">+'Hypothèse de base'!D56</f>
        <v>500000</v>
      </c>
      <c r="C22" s="80"/>
      <c r="D22" s="81"/>
      <c r="E22" s="68"/>
    </row>
    <row r="23" customFormat="false" ht="15" hidden="false" customHeight="true" outlineLevel="0" collapsed="false">
      <c r="A23" s="85" t="str">
        <f aca="false">+'Hypothèse de base'!A57</f>
        <v>Pompe solaire</v>
      </c>
      <c r="B23" s="80" t="n">
        <f aca="false">+'Hypothèse de base'!D57</f>
        <v>1200000</v>
      </c>
      <c r="C23" s="80"/>
      <c r="D23" s="81"/>
      <c r="E23" s="68"/>
    </row>
    <row r="24" customFormat="false" ht="15" hidden="false" customHeight="true" outlineLevel="0" collapsed="false">
      <c r="A24" s="85" t="str">
        <f aca="false">'Hypothèse de base'!A58</f>
        <v>Panneaux solaires</v>
      </c>
      <c r="B24" s="80" t="n">
        <f aca="false">'Hypothèse de base'!D58</f>
        <v>800000</v>
      </c>
      <c r="C24" s="80"/>
      <c r="D24" s="81"/>
      <c r="E24" s="68"/>
    </row>
    <row r="25" customFormat="false" ht="15" hidden="false" customHeight="true" outlineLevel="0" collapsed="false">
      <c r="A25" s="85" t="str">
        <f aca="false">'Hypothèse de base'!A59</f>
        <v>Tuyaux, vannes, pulvérisateur</v>
      </c>
      <c r="B25" s="80" t="n">
        <f aca="false">'Hypothèse de base'!D59</f>
        <v>500000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98</v>
      </c>
      <c r="B28" s="83" t="n">
        <f aca="false">SUM(B29:B33)</f>
        <v>80000</v>
      </c>
      <c r="C28" s="83"/>
      <c r="D28" s="84"/>
      <c r="E28" s="68"/>
    </row>
    <row r="29" customFormat="false" ht="15" hidden="false" customHeight="true" outlineLevel="0" collapsed="false">
      <c r="A29" s="85" t="str">
        <f aca="false">+'Hypothèse de base'!A68</f>
        <v>Balance</v>
      </c>
      <c r="B29" s="80" t="n">
        <f aca="false">+'Hypothèse de base'!D68</f>
        <v>20000</v>
      </c>
      <c r="C29" s="80"/>
      <c r="D29" s="81"/>
      <c r="E29" s="68"/>
    </row>
    <row r="30" customFormat="false" ht="15" hidden="false" customHeight="true" outlineLevel="0" collapsed="false">
      <c r="A30" s="85" t="str">
        <f aca="false">+'Hypothèse de base'!A69</f>
        <v>Petit matériel divers (1 lot)</v>
      </c>
      <c r="B30" s="80" t="n">
        <f aca="false">+'Hypothèse de base'!D69</f>
        <v>60000</v>
      </c>
      <c r="C30" s="80"/>
      <c r="D30" s="81"/>
      <c r="E30" s="68"/>
    </row>
    <row r="31" customFormat="false" ht="15" hidden="false" customHeight="true" outlineLevel="0" collapsed="false">
      <c r="A31" s="85" t="n">
        <f aca="false">+'Hypothèse de base'!A70</f>
        <v>0</v>
      </c>
      <c r="B31" s="80" t="n">
        <f aca="false">+'Hypothèse de base'!D70</f>
        <v>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101</v>
      </c>
      <c r="B34" s="83" t="n">
        <f aca="false">SUM(B35:B39)</f>
        <v>485000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Paillage en plastique</v>
      </c>
      <c r="B35" s="80" t="n">
        <f aca="false">+'Hypothèse de base'!D78</f>
        <v>200000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Pulvérisateurs</v>
      </c>
      <c r="B36" s="80" t="n">
        <f aca="false">+'Hypothèse de base'!D79</f>
        <v>50000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Brouettes + Houes</v>
      </c>
      <c r="B37" s="80" t="n">
        <f aca="false">+'Hypothèse de base'!D80</f>
        <v>40000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P 17 (2000 m)</v>
      </c>
      <c r="B38" s="80" t="n">
        <f aca="false">+'Hypothèse de base'!D81</f>
        <v>150000</v>
      </c>
      <c r="C38" s="80"/>
      <c r="D38" s="81"/>
      <c r="E38" s="68"/>
    </row>
    <row r="39" customFormat="false" ht="15" hidden="false" customHeight="true" outlineLevel="0" collapsed="false">
      <c r="A39" s="85" t="str">
        <f aca="false">'Hypothèse de base'!A82</f>
        <v>Outils divers (dabas, pioches, pelles)</v>
      </c>
      <c r="B39" s="80" t="n">
        <f aca="false">SUM('Hypothèse de base'!D82:D84)</f>
        <v>45000</v>
      </c>
      <c r="C39" s="80"/>
      <c r="D39" s="81"/>
      <c r="E39" s="68"/>
    </row>
    <row r="40" customFormat="false" ht="18" hidden="false" customHeight="true" outlineLevel="0" collapsed="false">
      <c r="A40" s="76" t="s">
        <v>132</v>
      </c>
      <c r="B40" s="77"/>
      <c r="C40" s="77" t="n">
        <f aca="false">SUM(B41:B45)</f>
        <v>1315000</v>
      </c>
      <c r="D40" s="78" t="n">
        <f aca="false">C40/$C$46</f>
        <v>0.263</v>
      </c>
      <c r="E40" s="68"/>
    </row>
    <row r="41" customFormat="false" ht="15" hidden="false" customHeight="true" outlineLevel="0" collapsed="false">
      <c r="A41" s="79" t="s">
        <v>133</v>
      </c>
      <c r="B41" s="88" t="n">
        <f aca="false">('Hypothèse de base'!I13+'Hypothèse de base'!I23)/4</f>
        <v>295000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134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135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136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137</v>
      </c>
      <c r="B45" s="88" t="n">
        <v>1020000</v>
      </c>
      <c r="C45" s="88"/>
      <c r="D45" s="75"/>
      <c r="E45" s="68"/>
    </row>
    <row r="46" customFormat="false" ht="21.75" hidden="false" customHeight="true" outlineLevel="0" collapsed="false">
      <c r="A46" s="93" t="s">
        <v>138</v>
      </c>
      <c r="B46" s="93"/>
      <c r="C46" s="87" t="n">
        <f aca="false">C4+C11+C40</f>
        <v>5000000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139</v>
      </c>
      <c r="B2" s="103"/>
      <c r="C2" s="104"/>
      <c r="D2" s="100"/>
      <c r="E2" s="105" t="s">
        <v>78</v>
      </c>
      <c r="F2" s="106" t="s">
        <v>140</v>
      </c>
      <c r="G2" s="107" t="s">
        <v>141</v>
      </c>
      <c r="H2" s="108" t="n">
        <v>0.1</v>
      </c>
      <c r="I2" s="102"/>
      <c r="W2" s="109" t="s">
        <v>142</v>
      </c>
      <c r="X2" s="109"/>
      <c r="Y2" s="109"/>
      <c r="Z2" s="110"/>
      <c r="AC2" s="98" t="s">
        <v>143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144</v>
      </c>
      <c r="F3" s="114" t="s">
        <v>145</v>
      </c>
      <c r="G3" s="115" t="s">
        <v>146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140</v>
      </c>
      <c r="V3" s="99" t="s">
        <v>147</v>
      </c>
      <c r="W3" s="110" t="s">
        <v>148</v>
      </c>
      <c r="X3" s="110" t="s">
        <v>149</v>
      </c>
      <c r="Y3" s="110" t="s">
        <v>150</v>
      </c>
      <c r="Z3" s="110" t="s">
        <v>151</v>
      </c>
      <c r="AC3" s="98" t="s">
        <v>144</v>
      </c>
    </row>
    <row r="4" customFormat="false" ht="18" hidden="false" customHeight="true" outlineLevel="0" collapsed="false">
      <c r="A4" s="118" t="s">
        <v>152</v>
      </c>
      <c r="B4" s="119" t="n">
        <f aca="false">+B7+B10+B14</f>
        <v>1</v>
      </c>
      <c r="C4" s="120" t="n">
        <f aca="false">'Coût du projet'!C46</f>
        <v>5000000</v>
      </c>
      <c r="D4" s="100"/>
      <c r="E4" s="111"/>
      <c r="F4" s="114" t="s">
        <v>153</v>
      </c>
      <c r="G4" s="115" t="s">
        <v>146</v>
      </c>
      <c r="H4" s="116" t="n">
        <f aca="false">+IF(G4=$AC$11,$R$6,0)</f>
        <v>0</v>
      </c>
      <c r="I4" s="102"/>
      <c r="Q4" s="117"/>
      <c r="S4" s="121" t="s">
        <v>144</v>
      </c>
      <c r="T4" s="121" t="s">
        <v>78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154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155</v>
      </c>
      <c r="G5" s="125" t="s">
        <v>141</v>
      </c>
      <c r="H5" s="126" t="n">
        <f aca="false">+IF(E3=S4,R8,0)+IF(E3=S6,R8,0)+IF(E3=S8,V8,0)+IF(E3=S9,(R8-H6),0)</f>
        <v>0.9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0.25</v>
      </c>
      <c r="S5" s="121"/>
      <c r="T5" s="121" t="s">
        <v>79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156</v>
      </c>
    </row>
    <row r="6" customFormat="false" ht="18" hidden="false" customHeight="true" outlineLevel="0" collapsed="false">
      <c r="A6" s="127" t="s">
        <v>157</v>
      </c>
      <c r="B6" s="128"/>
      <c r="C6" s="129"/>
      <c r="D6" s="100"/>
      <c r="E6" s="111"/>
      <c r="F6" s="124" t="s">
        <v>151</v>
      </c>
      <c r="G6" s="125" t="s">
        <v>141</v>
      </c>
      <c r="H6" s="130" t="n">
        <f aca="false">+IF(E3=S8,Z8,0)+IF(E3=S9,Z9,0)</f>
        <v>0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0.25</v>
      </c>
      <c r="S6" s="131" t="s">
        <v>154</v>
      </c>
      <c r="T6" s="131" t="s">
        <v>78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158</v>
      </c>
    </row>
    <row r="7" customFormat="false" ht="15.75" hidden="false" customHeight="true" outlineLevel="0" collapsed="false">
      <c r="A7" s="133" t="s">
        <v>159</v>
      </c>
      <c r="B7" s="134" t="n">
        <f aca="false">+SUM(B8:B9)</f>
        <v>0.1</v>
      </c>
      <c r="C7" s="135" t="n">
        <f aca="false">SUM(C8:C9)</f>
        <v>500000</v>
      </c>
      <c r="D7" s="100"/>
      <c r="E7" s="111"/>
      <c r="F7" s="136" t="s">
        <v>160</v>
      </c>
      <c r="G7" s="137" t="s">
        <v>146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0.25</v>
      </c>
      <c r="S7" s="131"/>
      <c r="T7" s="131" t="s">
        <v>79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161</v>
      </c>
      <c r="B8" s="140" t="n">
        <f aca="false">+H2</f>
        <v>0.1</v>
      </c>
      <c r="C8" s="141" t="n">
        <f aca="false">B8*C4</f>
        <v>500000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162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78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158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79</v>
      </c>
    </row>
    <row r="10" customFormat="false" ht="15.75" hidden="false" customHeight="true" outlineLevel="0" collapsed="false">
      <c r="A10" s="133" t="s">
        <v>163</v>
      </c>
      <c r="B10" s="134" t="n">
        <f aca="false">+SUM(B11:B13)</f>
        <v>0</v>
      </c>
      <c r="C10" s="135" t="n">
        <f aca="false">+SUM(C11:C13)</f>
        <v>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143</v>
      </c>
      <c r="T10" s="121" t="s">
        <v>78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164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79</v>
      </c>
      <c r="AC11" s="98" t="s">
        <v>165</v>
      </c>
    </row>
    <row r="12" customFormat="false" ht="14.25" hidden="false" customHeight="true" outlineLevel="0" collapsed="false">
      <c r="A12" s="139" t="s">
        <v>166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146</v>
      </c>
    </row>
    <row r="13" customFormat="false" ht="14.25" hidden="false" customHeight="true" outlineLevel="0" collapsed="false">
      <c r="A13" s="139" t="s">
        <v>167</v>
      </c>
      <c r="B13" s="140" t="n">
        <f aca="false">+H6</f>
        <v>0</v>
      </c>
      <c r="C13" s="141" t="n">
        <f aca="false">B13*$C$4</f>
        <v>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168</v>
      </c>
      <c r="B14" s="134" t="n">
        <f aca="false">+B15</f>
        <v>0.9</v>
      </c>
      <c r="C14" s="135" t="n">
        <f aca="false">+C15</f>
        <v>4500000</v>
      </c>
      <c r="D14" s="147"/>
      <c r="E14" s="142"/>
      <c r="F14" s="111"/>
      <c r="G14" s="146"/>
      <c r="H14" s="142"/>
      <c r="I14" s="102"/>
      <c r="Q14" s="145"/>
      <c r="R14" s="145"/>
      <c r="AC14" s="98" t="s">
        <v>169</v>
      </c>
    </row>
    <row r="15" customFormat="false" ht="15" hidden="false" customHeight="true" outlineLevel="0" collapsed="false">
      <c r="A15" s="148" t="s">
        <v>170</v>
      </c>
      <c r="B15" s="149" t="n">
        <f aca="false">+H5</f>
        <v>0.9</v>
      </c>
      <c r="C15" s="150" t="n">
        <f aca="false">C4-C7-C10</f>
        <v>4500000</v>
      </c>
      <c r="D15" s="147"/>
      <c r="E15" s="142"/>
      <c r="F15" s="111"/>
      <c r="G15" s="146"/>
      <c r="H15" s="142"/>
      <c r="I15" s="102"/>
      <c r="Q15" s="145"/>
      <c r="R15" s="145"/>
      <c r="AC15" s="98" t="s">
        <v>171</v>
      </c>
    </row>
    <row r="16" customFormat="false" ht="18" hidden="false" customHeight="true" outlineLevel="0" collapsed="false">
      <c r="A16" s="151" t="s">
        <v>172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173</v>
      </c>
    </row>
    <row r="17" customFormat="false" ht="14.25" hidden="false" customHeight="true" outlineLevel="0" collapsed="false">
      <c r="A17" s="154" t="s">
        <v>174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175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176</v>
      </c>
      <c r="B19" s="161" t="n">
        <v>36</v>
      </c>
      <c r="C19" s="162" t="s">
        <v>173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177</v>
      </c>
      <c r="B20" s="163" t="n">
        <v>0.08</v>
      </c>
      <c r="C20" s="162" t="s">
        <v>169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178</v>
      </c>
      <c r="B21" s="161" t="n">
        <v>3</v>
      </c>
      <c r="C21" s="162" t="s">
        <v>179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180</v>
      </c>
      <c r="B22" s="161" t="n">
        <v>36</v>
      </c>
      <c r="C22" s="162" t="s">
        <v>179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181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182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183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184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185</v>
      </c>
      <c r="B6" s="178" t="s">
        <v>186</v>
      </c>
      <c r="C6" s="178" t="s">
        <v>187</v>
      </c>
      <c r="D6" s="178" t="s">
        <v>188</v>
      </c>
      <c r="E6" s="178" t="s">
        <v>189</v>
      </c>
      <c r="F6" s="178" t="s">
        <v>190</v>
      </c>
      <c r="G6" s="169"/>
    </row>
    <row r="7" customFormat="false" ht="14.25" hidden="false" customHeight="true" outlineLevel="0" collapsed="false">
      <c r="A7" s="179" t="str">
        <f aca="false">+'Hypothèse de base'!A106</f>
        <v>Vente pastèque gros calibre (6-8 kg)</v>
      </c>
      <c r="B7" s="180" t="n">
        <f aca="false">+'Hypothèse de base'!I106</f>
        <v>2400000</v>
      </c>
      <c r="C7" s="180" t="n">
        <f aca="false">B7+(B7*$C$5)</f>
        <v>2448000</v>
      </c>
      <c r="D7" s="180" t="n">
        <f aca="false">C7+(C7*$D$5)</f>
        <v>2496960</v>
      </c>
      <c r="E7" s="180" t="n">
        <f aca="false">D7+(D7*$E$5)</f>
        <v>2546899.2</v>
      </c>
      <c r="F7" s="180" t="n">
        <f aca="false">E7+(E7*$F$5)</f>
        <v>2597837.184</v>
      </c>
      <c r="G7" s="169"/>
    </row>
    <row r="8" customFormat="false" ht="14.25" hidden="false" customHeight="true" outlineLevel="0" collapsed="false">
      <c r="A8" s="179" t="str">
        <f aca="false">+'Hypothèse de base'!A107</f>
        <v>Vente pastèque moyen calibre (4-5 kg)</v>
      </c>
      <c r="B8" s="180" t="n">
        <f aca="false">+'Hypothèse de base'!I107</f>
        <v>2400000</v>
      </c>
      <c r="C8" s="180" t="n">
        <f aca="false">B8+(B8*$C$5)</f>
        <v>2448000</v>
      </c>
      <c r="D8" s="180" t="n">
        <f aca="false">C8+(C8*$D$5)</f>
        <v>2496960</v>
      </c>
      <c r="E8" s="180" t="n">
        <f aca="false">D8+(D8*$E$5)</f>
        <v>2546899.2</v>
      </c>
      <c r="F8" s="180" t="n">
        <f aca="false">E8+(E8*$F$5)</f>
        <v>2597837.184</v>
      </c>
      <c r="G8" s="169"/>
    </row>
    <row r="9" customFormat="false" ht="14.25" hidden="false" customHeight="true" outlineLevel="0" collapsed="false">
      <c r="A9" s="179" t="str">
        <f aca="false">+'Hypothèse de base'!A108</f>
        <v>Vente pastèque petit calibre (2-3 kg)</v>
      </c>
      <c r="B9" s="180" t="n">
        <f aca="false">+'Hypothèse de base'!I108</f>
        <v>1200000</v>
      </c>
      <c r="C9" s="180" t="n">
        <f aca="false">B9+(B9*$C$5)</f>
        <v>1224000</v>
      </c>
      <c r="D9" s="180" t="n">
        <f aca="false">C9+(C9*$D$5)</f>
        <v>1248480</v>
      </c>
      <c r="E9" s="180" t="n">
        <f aca="false">D9+(D9*$E$5)</f>
        <v>1273449.6</v>
      </c>
      <c r="F9" s="180" t="n">
        <f aca="false">E9+(E9*$F$5)</f>
        <v>1298918.592</v>
      </c>
      <c r="G9" s="169"/>
    </row>
    <row r="10" customFormat="false" ht="14.25" hidden="false" customHeight="true" outlineLevel="0" collapsed="false">
      <c r="A10" s="179" t="n">
        <f aca="false">+'Hypothèse de base'!A109</f>
        <v>0</v>
      </c>
      <c r="B10" s="180" t="n">
        <f aca="false">+'Hypothèse de base'!I109</f>
        <v>0</v>
      </c>
      <c r="C10" s="180" t="n">
        <f aca="false">B10+(B10*$C$5)</f>
        <v>0</v>
      </c>
      <c r="D10" s="181" t="n">
        <f aca="false">C10+(C10*$D$5)</f>
        <v>0</v>
      </c>
      <c r="E10" s="181" t="n">
        <f aca="false">D10+(D10*$E$5)</f>
        <v>0</v>
      </c>
      <c r="F10" s="181" t="n">
        <f aca="false">E10+(E10*$F$5)</f>
        <v>0</v>
      </c>
      <c r="G10" s="169"/>
    </row>
    <row r="11" customFormat="false" ht="14.25" hidden="false" customHeight="true" outlineLevel="0" collapsed="false">
      <c r="A11" s="179" t="n">
        <f aca="false">+'Hypothèse de base'!A110</f>
        <v>0</v>
      </c>
      <c r="B11" s="180" t="n">
        <f aca="false">SUM('Hypothèse de base'!I110:I113)</f>
        <v>0</v>
      </c>
      <c r="C11" s="180" t="n">
        <f aca="false">B11+(B11*$C$5)</f>
        <v>0</v>
      </c>
      <c r="D11" s="181" t="n">
        <f aca="false">C11+(C11*$D$5)</f>
        <v>0</v>
      </c>
      <c r="E11" s="181" t="n">
        <f aca="false">D11+(D11*$E$5)</f>
        <v>0</v>
      </c>
      <c r="F11" s="181" t="n">
        <f aca="false">E11+(E11*$F$5)</f>
        <v>0</v>
      </c>
      <c r="G11" s="169"/>
    </row>
    <row r="12" customFormat="false" ht="14.25" hidden="false" customHeight="true" outlineLevel="0" collapsed="false">
      <c r="A12" s="182" t="s">
        <v>191</v>
      </c>
      <c r="B12" s="183" t="n">
        <f aca="false">SUM(B7:B11)</f>
        <v>6000000</v>
      </c>
      <c r="C12" s="183" t="n">
        <f aca="false">SUM(C7:C11)</f>
        <v>6120000</v>
      </c>
      <c r="D12" s="183" t="n">
        <f aca="false">SUM(D7:D11)</f>
        <v>6242400</v>
      </c>
      <c r="E12" s="183" t="n">
        <f aca="false">SUM(E7:E11)</f>
        <v>6367248</v>
      </c>
      <c r="F12" s="183" t="n">
        <f aca="false">SUM(F7:F11)</f>
        <v>6494592.96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192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193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185</v>
      </c>
      <c r="B17" s="178" t="s">
        <v>186</v>
      </c>
      <c r="C17" s="178" t="s">
        <v>187</v>
      </c>
      <c r="D17" s="178" t="s">
        <v>188</v>
      </c>
      <c r="E17" s="178" t="s">
        <v>189</v>
      </c>
      <c r="F17" s="178" t="s">
        <v>190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Semence pastèque</v>
      </c>
      <c r="B18" s="180" t="n">
        <f aca="false">+'Hypothèse de base'!I7+'Hypothèse de base'!I18</f>
        <v>460000</v>
      </c>
      <c r="C18" s="180" t="n">
        <f aca="false">B18+(B18*$C$16)</f>
        <v>487600</v>
      </c>
      <c r="D18" s="180" t="n">
        <f aca="false">C18+(C18*$D$16)</f>
        <v>526608</v>
      </c>
      <c r="E18" s="180" t="n">
        <f aca="false">D18+(D18*$E$16)</f>
        <v>568736.64</v>
      </c>
      <c r="F18" s="180" t="n">
        <f aca="false">E18+(E18*$F$16)</f>
        <v>614235.5712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Engrais NPK 50 kg</v>
      </c>
      <c r="B19" s="180" t="n">
        <f aca="false">+'Hypothèse de base'!I8+'Hypothèse de base'!I19</f>
        <v>350000</v>
      </c>
      <c r="C19" s="181" t="n">
        <f aca="false">B19+(B19*$C$16)</f>
        <v>371000</v>
      </c>
      <c r="D19" s="181" t="n">
        <f aca="false">C19+(C19*$D$16)</f>
        <v>400680</v>
      </c>
      <c r="E19" s="181" t="n">
        <f aca="false">D19+(D19*$E$16)</f>
        <v>432734.4</v>
      </c>
      <c r="F19" s="181" t="n">
        <f aca="false">E19+(E19*$F$16)</f>
        <v>467353.152</v>
      </c>
      <c r="G19" s="169"/>
    </row>
    <row r="20" customFormat="false" ht="14.25" hidden="false" customHeight="true" outlineLevel="0" collapsed="false">
      <c r="A20" s="179" t="str">
        <f aca="false">+'Hypothèse de base'!A9</f>
        <v>Intrant Urée 50 kg</v>
      </c>
      <c r="B20" s="180" t="n">
        <f aca="false">+'Hypothèse de base'!I9+'Hypothèse de base'!I20</f>
        <v>150000</v>
      </c>
      <c r="C20" s="181" t="n">
        <f aca="false">B20+(B20*$C$16)</f>
        <v>159000</v>
      </c>
      <c r="D20" s="181" t="n">
        <f aca="false">C20+(C20*$D$16)</f>
        <v>171720</v>
      </c>
      <c r="E20" s="181" t="n">
        <f aca="false">D20+(D20*$E$16)</f>
        <v>185457.6</v>
      </c>
      <c r="F20" s="181" t="n">
        <f aca="false">E20+(E20*$F$16)</f>
        <v>200294.208</v>
      </c>
      <c r="G20" s="169"/>
    </row>
    <row r="21" customFormat="false" ht="15" hidden="false" customHeight="true" outlineLevel="0" collapsed="false">
      <c r="A21" s="179" t="str">
        <f aca="false">+'Hypothèse de base'!A10</f>
        <v>Fongicide + insecticide</v>
      </c>
      <c r="B21" s="180" t="n">
        <f aca="false">+'Hypothèse de base'!I10+'Hypothèse de base'!I21</f>
        <v>180000</v>
      </c>
      <c r="C21" s="181" t="n">
        <f aca="false">B21+(B21*$C$16)</f>
        <v>190800</v>
      </c>
      <c r="D21" s="181" t="n">
        <f aca="false">C21+(C21*$D$16)</f>
        <v>206064</v>
      </c>
      <c r="E21" s="181" t="n">
        <f aca="false">D21+(D21*$E$16)</f>
        <v>222549.12</v>
      </c>
      <c r="F21" s="181" t="n">
        <f aca="false">E21+(E21*$F$16)</f>
        <v>240353.0496</v>
      </c>
      <c r="G21" s="169"/>
    </row>
    <row r="22" customFormat="false" ht="15" hidden="false" customHeight="true" outlineLevel="0" collapsed="false">
      <c r="A22" s="179" t="str">
        <f aca="false">+'Hypothèse de base'!A11</f>
        <v>Fumure organique</v>
      </c>
      <c r="B22" s="180" t="n">
        <f aca="false">+'Hypothèse de base'!I11+'Hypothèse de base'!I22</f>
        <v>40000</v>
      </c>
      <c r="C22" s="181" t="n">
        <f aca="false">B22+(B22*$C$16)</f>
        <v>42400</v>
      </c>
      <c r="D22" s="181" t="n">
        <f aca="false">C22+(C22*$D$16)</f>
        <v>45792</v>
      </c>
      <c r="E22" s="181" t="n">
        <f aca="false">D22+(D22*$E$16)</f>
        <v>49455.36</v>
      </c>
      <c r="F22" s="181" t="n">
        <f aca="false">E22+(E22*$F$16)</f>
        <v>53411.7888</v>
      </c>
      <c r="G22" s="169"/>
    </row>
    <row r="23" customFormat="false" ht="15" hidden="false" customHeight="true" outlineLevel="0" collapsed="false">
      <c r="A23" s="179" t="n">
        <f aca="false">+'Hypothèse de base'!A12</f>
        <v>0</v>
      </c>
      <c r="B23" s="180" t="n">
        <f aca="false">+'Hypothèse de base'!I12</f>
        <v>0</v>
      </c>
      <c r="C23" s="181" t="n">
        <f aca="false">B23+(B23*$C$16)</f>
        <v>0</v>
      </c>
      <c r="D23" s="181" t="n">
        <f aca="false">C23+(C23*$D$16)</f>
        <v>0</v>
      </c>
      <c r="E23" s="181" t="n">
        <f aca="false">D23+(D23*$E$16)</f>
        <v>0</v>
      </c>
      <c r="F23" s="181" t="n">
        <f aca="false">E23+(E23*$F$16)</f>
        <v>0</v>
      </c>
      <c r="G23" s="169"/>
    </row>
    <row r="24" customFormat="false" ht="16.5" hidden="false" customHeight="true" outlineLevel="0" collapsed="false">
      <c r="A24" s="182" t="s">
        <v>194</v>
      </c>
      <c r="B24" s="183" t="n">
        <f aca="false">SUM(B18:B23)</f>
        <v>1180000</v>
      </c>
      <c r="C24" s="183" t="n">
        <f aca="false">SUM(C18:C23)</f>
        <v>1250800</v>
      </c>
      <c r="D24" s="183" t="n">
        <f aca="false">SUM(D18:D23)</f>
        <v>1350864</v>
      </c>
      <c r="E24" s="183" t="n">
        <f aca="false">SUM(E18:E23)</f>
        <v>1458933.12</v>
      </c>
      <c r="F24" s="183" t="n">
        <f aca="false">SUM(F18:F23)</f>
        <v>1575647.7696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195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185</v>
      </c>
      <c r="B27" s="188" t="s">
        <v>186</v>
      </c>
      <c r="C27" s="188" t="s">
        <v>187</v>
      </c>
      <c r="D27" s="188" t="s">
        <v>188</v>
      </c>
      <c r="E27" s="188" t="s">
        <v>189</v>
      </c>
      <c r="F27" s="188" t="s">
        <v>190</v>
      </c>
      <c r="G27" s="169"/>
    </row>
    <row r="28" customFormat="false" ht="14.25" hidden="false" customHeight="true" outlineLevel="0" collapsed="false">
      <c r="A28" s="179" t="s">
        <v>196</v>
      </c>
      <c r="B28" s="181" t="n">
        <f aca="false">+'Hypothèse de base'!H38</f>
        <v>2100000</v>
      </c>
      <c r="C28" s="181" t="n">
        <f aca="false">B28+(B28*$C$26)</f>
        <v>2205000</v>
      </c>
      <c r="D28" s="181" t="n">
        <f aca="false">C28+(C28*$D$26)</f>
        <v>2205000</v>
      </c>
      <c r="E28" s="181" t="n">
        <f aca="false">D28+(D28*$E$26)</f>
        <v>2205000</v>
      </c>
      <c r="F28" s="181" t="n">
        <f aca="false">E28+(E28*$F$26)</f>
        <v>2205000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197</v>
      </c>
      <c r="B30" s="183" t="n">
        <f aca="false">SUM(B28:B29)</f>
        <v>2100000</v>
      </c>
      <c r="C30" s="183" t="n">
        <f aca="false">SUM(C28:C29)</f>
        <v>2205000</v>
      </c>
      <c r="D30" s="183" t="n">
        <f aca="false">SUM(D28:D29)</f>
        <v>2205000</v>
      </c>
      <c r="E30" s="183" t="n">
        <f aca="false">SUM(E28:E29)</f>
        <v>2205000</v>
      </c>
      <c r="F30" s="183" t="n">
        <f aca="false">SUM(F28:F29)</f>
        <v>2205000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198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185</v>
      </c>
      <c r="B33" s="188" t="s">
        <v>186</v>
      </c>
      <c r="C33" s="188" t="s">
        <v>187</v>
      </c>
      <c r="D33" s="188" t="s">
        <v>188</v>
      </c>
      <c r="E33" s="188" t="s">
        <v>189</v>
      </c>
      <c r="F33" s="188" t="s">
        <v>190</v>
      </c>
      <c r="G33" s="169"/>
      <c r="H33" s="190"/>
      <c r="I33" s="190"/>
    </row>
    <row r="34" customFormat="false" ht="14.25" hidden="false" customHeight="true" outlineLevel="0" collapsed="false">
      <c r="A34" s="179" t="s">
        <v>199</v>
      </c>
      <c r="B34" s="191" t="n">
        <f aca="false">0.5%*B30</f>
        <v>10500</v>
      </c>
      <c r="C34" s="191" t="n">
        <f aca="false">0.5%*C30</f>
        <v>11025</v>
      </c>
      <c r="D34" s="191" t="n">
        <f aca="false">0.5%*D30</f>
        <v>11025</v>
      </c>
      <c r="E34" s="191" t="n">
        <f aca="false">0.5%*E30</f>
        <v>11025</v>
      </c>
      <c r="F34" s="191" t="n">
        <f aca="false">0.5%*F30</f>
        <v>11025</v>
      </c>
      <c r="G34" s="192"/>
      <c r="H34" s="190"/>
      <c r="I34" s="190"/>
    </row>
    <row r="35" customFormat="false" ht="14.25" hidden="false" customHeight="true" outlineLevel="0" collapsed="false">
      <c r="A35" s="179" t="s">
        <v>200</v>
      </c>
      <c r="B35" s="191" t="n">
        <f aca="false">7.5%*B30</f>
        <v>157500</v>
      </c>
      <c r="C35" s="191" t="n">
        <f aca="false">7.5%*C30</f>
        <v>165375</v>
      </c>
      <c r="D35" s="191" t="n">
        <f aca="false">7.5%*D30</f>
        <v>165375</v>
      </c>
      <c r="E35" s="191" t="n">
        <f aca="false">7.5%*E30</f>
        <v>165375</v>
      </c>
      <c r="F35" s="191" t="n">
        <f aca="false">7.5%*F30</f>
        <v>165375</v>
      </c>
      <c r="G35" s="192"/>
      <c r="H35" s="190"/>
      <c r="I35" s="190"/>
    </row>
    <row r="36" customFormat="false" ht="14.25" hidden="false" customHeight="true" outlineLevel="0" collapsed="false">
      <c r="A36" s="179" t="s">
        <v>201</v>
      </c>
      <c r="B36" s="191" t="n">
        <f aca="false">+B30*1%</f>
        <v>21000</v>
      </c>
      <c r="C36" s="191" t="n">
        <f aca="false">+C30*1%</f>
        <v>22050</v>
      </c>
      <c r="D36" s="191" t="n">
        <f aca="false">+D30*1%</f>
        <v>22050</v>
      </c>
      <c r="E36" s="191" t="n">
        <f aca="false">+E30*1%</f>
        <v>22050</v>
      </c>
      <c r="F36" s="191" t="n">
        <f aca="false">+F30*1%</f>
        <v>22050</v>
      </c>
      <c r="G36" s="192"/>
      <c r="H36" s="190"/>
      <c r="I36" s="190"/>
    </row>
    <row r="37" customFormat="false" ht="27" hidden="false" customHeight="true" outlineLevel="0" collapsed="false">
      <c r="A37" s="193" t="s">
        <v>202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194</v>
      </c>
      <c r="B38" s="194" t="n">
        <f aca="false">SUM(B34:B37)</f>
        <v>189000</v>
      </c>
      <c r="C38" s="194" t="n">
        <f aca="false">SUM(C34:C37)</f>
        <v>198450</v>
      </c>
      <c r="D38" s="194" t="n">
        <f aca="false">SUM(D34:D37)</f>
        <v>198450</v>
      </c>
      <c r="E38" s="194" t="n">
        <f aca="false">SUM(E34:E37)</f>
        <v>198450</v>
      </c>
      <c r="F38" s="194" t="n">
        <f aca="false">SUM(F34:F37)</f>
        <v>198450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203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185</v>
      </c>
      <c r="B41" s="188" t="s">
        <v>186</v>
      </c>
      <c r="C41" s="188" t="s">
        <v>187</v>
      </c>
      <c r="D41" s="188" t="s">
        <v>188</v>
      </c>
      <c r="E41" s="188" t="s">
        <v>189</v>
      </c>
      <c r="F41" s="188" t="s">
        <v>190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150000</v>
      </c>
      <c r="C42" s="181" t="n">
        <f aca="false">B42+(B42*$C$26)</f>
        <v>157500</v>
      </c>
      <c r="D42" s="181" t="n">
        <f aca="false">C42+(C42*$D$26)</f>
        <v>157500</v>
      </c>
      <c r="E42" s="181" t="n">
        <f aca="false">D42+(D42*$E$26)</f>
        <v>157500</v>
      </c>
      <c r="F42" s="181" t="n">
        <f aca="false">E42+(E42*$F$26)</f>
        <v>157500</v>
      </c>
      <c r="G42" s="169"/>
    </row>
    <row r="43" customFormat="false" ht="14.25" hidden="false" customHeight="true" outlineLevel="0" collapsed="false">
      <c r="A43" s="195" t="str">
        <f aca="false">+'Hypothèse de base'!A92</f>
        <v>Communication / publicité</v>
      </c>
      <c r="B43" s="181" t="n">
        <f aca="false">+'Hypothèse de base'!F92</f>
        <v>100000</v>
      </c>
      <c r="C43" s="181" t="n">
        <f aca="false">B43+(B43*$C$26)</f>
        <v>105000</v>
      </c>
      <c r="D43" s="181" t="n">
        <f aca="false">C43+(C43*$D$26)</f>
        <v>105000</v>
      </c>
      <c r="E43" s="181" t="n">
        <f aca="false">D43+(D43*$E$26)</f>
        <v>105000</v>
      </c>
      <c r="F43" s="181" t="n">
        <f aca="false">E43+(E43*$F$26)</f>
        <v>105000</v>
      </c>
      <c r="G43" s="169"/>
    </row>
    <row r="44" customFormat="false" ht="14.25" hidden="false" customHeight="true" outlineLevel="0" collapsed="false">
      <c r="A44" s="195" t="n">
        <f aca="false">+'Hypothèse de base'!A93</f>
        <v>0</v>
      </c>
      <c r="B44" s="181" t="n">
        <f aca="false">+'Hypothèse de base'!F93</f>
        <v>0</v>
      </c>
      <c r="C44" s="181" t="n">
        <f aca="false">B44+(B44*$C$26)</f>
        <v>0</v>
      </c>
      <c r="D44" s="181" t="n">
        <f aca="false">C44+(C44*$D$26)</f>
        <v>0</v>
      </c>
      <c r="E44" s="181" t="n">
        <f aca="false">D44+(D44*$E$26)</f>
        <v>0</v>
      </c>
      <c r="F44" s="181" t="n">
        <f aca="false">E44+(E44*$F$26)</f>
        <v>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194</v>
      </c>
      <c r="B49" s="183" t="n">
        <f aca="false">SUM(B42:B48)</f>
        <v>250000</v>
      </c>
      <c r="C49" s="183" t="n">
        <f aca="false">SUM(C42:C48)</f>
        <v>262500</v>
      </c>
      <c r="D49" s="183" t="n">
        <f aca="false">SUM(D42:D48)</f>
        <v>262500</v>
      </c>
      <c r="E49" s="183" t="n">
        <f aca="false">SUM(E42:E48)</f>
        <v>262500</v>
      </c>
      <c r="F49" s="183" t="n">
        <f aca="false">SUM(F42:F48)</f>
        <v>262500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204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185</v>
      </c>
      <c r="B53" s="188" t="s">
        <v>186</v>
      </c>
      <c r="C53" s="188" t="s">
        <v>187</v>
      </c>
      <c r="D53" s="188" t="s">
        <v>188</v>
      </c>
      <c r="E53" s="188" t="s">
        <v>189</v>
      </c>
      <c r="F53" s="188" t="s">
        <v>190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194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205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185</v>
      </c>
      <c r="B65" s="178" t="s">
        <v>56</v>
      </c>
      <c r="C65" s="178" t="s">
        <v>206</v>
      </c>
      <c r="D65" s="178" t="s">
        <v>207</v>
      </c>
      <c r="E65" s="178" t="s">
        <v>187</v>
      </c>
      <c r="F65" s="178" t="s">
        <v>188</v>
      </c>
      <c r="G65" s="178" t="s">
        <v>189</v>
      </c>
      <c r="H65" s="178" t="s">
        <v>190</v>
      </c>
    </row>
    <row r="66" customFormat="false" ht="14.25" hidden="false" customHeight="true" outlineLevel="0" collapsed="false">
      <c r="A66" s="197" t="s">
        <v>208</v>
      </c>
      <c r="B66" s="198" t="n">
        <f aca="false">+'Coût du projet'!C4</f>
        <v>15000</v>
      </c>
      <c r="C66" s="199" t="n">
        <v>1</v>
      </c>
      <c r="D66" s="181" t="n">
        <f aca="false">+B66*C66</f>
        <v>15000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Aménagement préparatoire</v>
      </c>
      <c r="B73" s="197" t="n">
        <f aca="false">+'Coût du projet'!B20</f>
        <v>45000</v>
      </c>
      <c r="C73" s="201" t="n">
        <v>0.25</v>
      </c>
      <c r="D73" s="181" t="n">
        <f aca="false">+B73*C73</f>
        <v>11250</v>
      </c>
      <c r="E73" s="181" t="n">
        <f aca="false">D73</f>
        <v>11250</v>
      </c>
      <c r="F73" s="181" t="n">
        <f aca="false">E73</f>
        <v>11250</v>
      </c>
      <c r="G73" s="181" t="n">
        <f aca="false">IFERROR(MAX(0,MIN($B73*$C73,$B73-$B73*$C73*3)),0)</f>
        <v>11250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Formation des billons</v>
      </c>
      <c r="B74" s="197" t="n">
        <f aca="false">+'Coût du projet'!B21</f>
        <v>60000</v>
      </c>
      <c r="C74" s="201" t="n">
        <v>0.25</v>
      </c>
      <c r="D74" s="181" t="n">
        <f aca="false">+B74*C74</f>
        <v>15000</v>
      </c>
      <c r="E74" s="181" t="n">
        <f aca="false">D74</f>
        <v>15000</v>
      </c>
      <c r="F74" s="181" t="n">
        <f aca="false">E74</f>
        <v>15000</v>
      </c>
      <c r="G74" s="181" t="n">
        <f aca="false">IFERROR(MAX(0,MIN($B74*$C74,$B74-$B74*$C74*3)),0)</f>
        <v>15000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Système goutte-à-goutte</v>
      </c>
      <c r="B75" s="197" t="n">
        <f aca="false">+'Coût du projet'!B22</f>
        <v>500000</v>
      </c>
      <c r="C75" s="201" t="n">
        <v>0.25</v>
      </c>
      <c r="D75" s="181" t="n">
        <f aca="false">+B75*C75</f>
        <v>125000</v>
      </c>
      <c r="E75" s="181" t="n">
        <f aca="false">D75</f>
        <v>125000</v>
      </c>
      <c r="F75" s="181" t="n">
        <f aca="false">E75</f>
        <v>125000</v>
      </c>
      <c r="G75" s="181" t="n">
        <f aca="false">IFERROR(MAX(0,MIN($B75*$C75,$B75-$B75*$C75*3)),0)</f>
        <v>125000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str">
        <f aca="false">+'Coût du projet'!A23</f>
        <v>Pompe solaire</v>
      </c>
      <c r="B76" s="197" t="n">
        <f aca="false">+'Coût du projet'!B23</f>
        <v>1200000</v>
      </c>
      <c r="C76" s="201" t="n">
        <v>0.25</v>
      </c>
      <c r="D76" s="181" t="n">
        <f aca="false">+B76*C76</f>
        <v>300000</v>
      </c>
      <c r="E76" s="181" t="n">
        <f aca="false">D76</f>
        <v>300000</v>
      </c>
      <c r="F76" s="181" t="n">
        <f aca="false">E76</f>
        <v>300000</v>
      </c>
      <c r="G76" s="181" t="n">
        <f aca="false">IFERROR(MAX(0,MIN($B76*$C76,$B76-$B76*$C76*3)),0)</f>
        <v>300000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str">
        <f aca="false">+'Coût du projet'!A24</f>
        <v>Panneaux solaires</v>
      </c>
      <c r="B77" s="197" t="n">
        <f aca="false">+'Coût du projet'!B24</f>
        <v>800000</v>
      </c>
      <c r="C77" s="201" t="n">
        <v>0.25</v>
      </c>
      <c r="D77" s="181" t="n">
        <f aca="false">+B77*C77</f>
        <v>200000</v>
      </c>
      <c r="E77" s="181" t="n">
        <f aca="false">D77</f>
        <v>200000</v>
      </c>
      <c r="F77" s="181" t="n">
        <f aca="false">E77</f>
        <v>200000</v>
      </c>
      <c r="G77" s="181" t="n">
        <f aca="false">IFERROR(MAX(0,MIN($B77*$C77,$B77-$B77*$C77*3)),0)</f>
        <v>200000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str">
        <f aca="false">+'Coût du projet'!A25</f>
        <v>Tuyaux, vannes, pulvérisateur</v>
      </c>
      <c r="B78" s="197" t="n">
        <f aca="false">+'Coût du projet'!B25</f>
        <v>500000</v>
      </c>
      <c r="C78" s="201" t="n">
        <v>0.25</v>
      </c>
      <c r="D78" s="181" t="n">
        <f aca="false">+B78*C78</f>
        <v>125000</v>
      </c>
      <c r="E78" s="181" t="n">
        <f aca="false">D78</f>
        <v>125000</v>
      </c>
      <c r="F78" s="181" t="n">
        <f aca="false">E78</f>
        <v>125000</v>
      </c>
      <c r="G78" s="181" t="n">
        <f aca="false">IFERROR(MAX(0,MIN($B78*$C78,$B78-$B78*$C78*3)),0)</f>
        <v>125000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str">
        <f aca="false">+'Coût du projet'!A29</f>
        <v>Balance</v>
      </c>
      <c r="B82" s="197" t="n">
        <f aca="false">+'Coût du projet'!B29</f>
        <v>20000</v>
      </c>
      <c r="C82" s="201" t="n">
        <v>0.333333333333333</v>
      </c>
      <c r="D82" s="181" t="n">
        <f aca="false">+B82*C82</f>
        <v>6666.66666666666</v>
      </c>
      <c r="E82" s="181" t="n">
        <f aca="false">D82</f>
        <v>6666.66666666666</v>
      </c>
      <c r="F82" s="181" t="n">
        <f aca="false">E82</f>
        <v>6666.66666666666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str">
        <f aca="false">+'Coût du projet'!A30</f>
        <v>Petit matériel divers (1 lot)</v>
      </c>
      <c r="B83" s="197" t="n">
        <f aca="false">+'Coût du projet'!B30</f>
        <v>60000</v>
      </c>
      <c r="C83" s="201" t="n">
        <v>0.333333333333333</v>
      </c>
      <c r="D83" s="181" t="n">
        <f aca="false">+B83*C83</f>
        <v>20000</v>
      </c>
      <c r="E83" s="181" t="n">
        <f aca="false">D83</f>
        <v>20000</v>
      </c>
      <c r="F83" s="181" t="n">
        <f aca="false">E83</f>
        <v>20000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n">
        <f aca="false">+'Coût du projet'!A31</f>
        <v>0</v>
      </c>
      <c r="B84" s="197" t="n">
        <f aca="false">+'Coût du projet'!B31</f>
        <v>0</v>
      </c>
      <c r="C84" s="201" t="n">
        <v>0.333333333333333</v>
      </c>
      <c r="D84" s="181" t="n">
        <f aca="false">+B84*C84</f>
        <v>0</v>
      </c>
      <c r="E84" s="181" t="n">
        <f aca="false">D84</f>
        <v>0</v>
      </c>
      <c r="F84" s="181" t="n">
        <f aca="false">E84</f>
        <v>0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Paillage en plastique</v>
      </c>
      <c r="B87" s="197" t="n">
        <f aca="false">+'Coût du projet'!B35</f>
        <v>200000</v>
      </c>
      <c r="C87" s="201" t="n">
        <v>0.2</v>
      </c>
      <c r="D87" s="181" t="n">
        <f aca="false">+B87*C87</f>
        <v>40000</v>
      </c>
      <c r="E87" s="181" t="n">
        <f aca="false">D87</f>
        <v>40000</v>
      </c>
      <c r="F87" s="181" t="n">
        <f aca="false">E87</f>
        <v>40000</v>
      </c>
      <c r="G87" s="181" t="n">
        <f aca="false">IFERROR(MAX(0,MIN($B87*$C87,$B87-$B87*$C87*3)),0)</f>
        <v>40000</v>
      </c>
      <c r="H87" s="181" t="n">
        <f aca="false">IFERROR(MAX(0,MIN($B87*$C87,$B87-$B87*$C87*4)),0)</f>
        <v>40000</v>
      </c>
    </row>
    <row r="88" customFormat="false" ht="14.25" hidden="false" customHeight="true" outlineLevel="0" collapsed="false">
      <c r="A88" s="197" t="str">
        <f aca="false">+'Coût du projet'!A36</f>
        <v>Pulvérisateurs</v>
      </c>
      <c r="B88" s="197" t="n">
        <f aca="false">+'Coût du projet'!B36</f>
        <v>50000</v>
      </c>
      <c r="C88" s="201" t="n">
        <v>0.2</v>
      </c>
      <c r="D88" s="181" t="n">
        <f aca="false">+B88*C88</f>
        <v>10000</v>
      </c>
      <c r="E88" s="181" t="n">
        <f aca="false">D88</f>
        <v>10000</v>
      </c>
      <c r="F88" s="181" t="n">
        <f aca="false">E88</f>
        <v>10000</v>
      </c>
      <c r="G88" s="181" t="n">
        <f aca="false">IFERROR(MAX(0,MIN($B88*$C88,$B88-$B88*$C88*3)),0)</f>
        <v>10000</v>
      </c>
      <c r="H88" s="181" t="n">
        <f aca="false">IFERROR(MAX(0,MIN($B88*$C88,$B88-$B88*$C88*4)),0)</f>
        <v>10000</v>
      </c>
    </row>
    <row r="89" customFormat="false" ht="14.25" hidden="false" customHeight="true" outlineLevel="0" collapsed="false">
      <c r="A89" s="197" t="str">
        <f aca="false">+'Coût du projet'!A37</f>
        <v>Brouettes + Houes</v>
      </c>
      <c r="B89" s="197" t="n">
        <f aca="false">+'Coût du projet'!B37</f>
        <v>40000</v>
      </c>
      <c r="C89" s="201" t="n">
        <v>0.2</v>
      </c>
      <c r="D89" s="181" t="n">
        <f aca="false">+B89*C89</f>
        <v>8000</v>
      </c>
      <c r="E89" s="181" t="n">
        <f aca="false">D89</f>
        <v>8000</v>
      </c>
      <c r="F89" s="181" t="n">
        <f aca="false">E89</f>
        <v>8000</v>
      </c>
      <c r="G89" s="181" t="n">
        <f aca="false">IFERROR(MAX(0,MIN($B89*$C89,$B89-$B89*$C89*3)),0)</f>
        <v>8000</v>
      </c>
      <c r="H89" s="181" t="n">
        <f aca="false">IFERROR(MAX(0,MIN($B89*$C89,$B89-$B89*$C89*4)),0)</f>
        <v>8000</v>
      </c>
    </row>
    <row r="90" customFormat="false" ht="14.25" hidden="false" customHeight="true" outlineLevel="0" collapsed="false">
      <c r="A90" s="197" t="str">
        <f aca="false">+'Coût du projet'!A38</f>
        <v>P 17 (2000 m)</v>
      </c>
      <c r="B90" s="197" t="n">
        <f aca="false">+'Coût du projet'!B38</f>
        <v>150000</v>
      </c>
      <c r="C90" s="201" t="n">
        <v>0.2</v>
      </c>
      <c r="D90" s="181" t="n">
        <f aca="false">+B90*C90</f>
        <v>30000</v>
      </c>
      <c r="E90" s="181" t="n">
        <f aca="false">D90</f>
        <v>30000</v>
      </c>
      <c r="F90" s="181" t="n">
        <f aca="false">E90</f>
        <v>30000</v>
      </c>
      <c r="G90" s="181" t="n">
        <f aca="false">IFERROR(MAX(0,MIN($B90*$C90,$B90-$B90*$C90*3)),0)</f>
        <v>30000</v>
      </c>
      <c r="H90" s="181" t="n">
        <f aca="false">IFERROR(MAX(0,MIN($B90*$C90,$B90-$B90*$C90*4)),0)</f>
        <v>30000</v>
      </c>
    </row>
    <row r="91" customFormat="false" ht="14.25" hidden="false" customHeight="true" outlineLevel="0" collapsed="false">
      <c r="A91" s="197" t="str">
        <f aca="false">+'Coût du projet'!A39</f>
        <v>Outils divers (dabas, pioches, pelles)</v>
      </c>
      <c r="B91" s="197" t="n">
        <f aca="false">+'Coût du projet'!B39</f>
        <v>45000</v>
      </c>
      <c r="C91" s="201" t="n">
        <v>0.2</v>
      </c>
      <c r="D91" s="181" t="n">
        <f aca="false">+B91*C91</f>
        <v>9000</v>
      </c>
      <c r="E91" s="181" t="n">
        <f aca="false">D91</f>
        <v>9000</v>
      </c>
      <c r="F91" s="181" t="n">
        <f aca="false">E91</f>
        <v>9000</v>
      </c>
      <c r="G91" s="181" t="n">
        <f aca="false">IFERROR(MAX(0,MIN($B91*$C91,$B91-$B91*$C91*3)),0)</f>
        <v>9000</v>
      </c>
      <c r="H91" s="181" t="n">
        <f aca="false">IFERROR(MAX(0,MIN($B91*$C91,$B91-$B91*$C91*4)),0)</f>
        <v>9000</v>
      </c>
    </row>
    <row r="92" customFormat="false" ht="14.25" hidden="false" customHeight="true" outlineLevel="0" collapsed="false">
      <c r="A92" s="182" t="s">
        <v>194</v>
      </c>
      <c r="B92" s="183" t="n">
        <f aca="false">+SUM(B66:B91)</f>
        <v>3685000</v>
      </c>
      <c r="C92" s="183"/>
      <c r="D92" s="183" t="n">
        <f aca="false">+SUM(D66:D91)</f>
        <v>914916.666666667</v>
      </c>
      <c r="E92" s="183" t="n">
        <f aca="false">+SUM(E66:E91)</f>
        <v>899916.666666667</v>
      </c>
      <c r="F92" s="183" t="n">
        <f aca="false">+SUM(F66:F91)</f>
        <v>899916.666666667</v>
      </c>
      <c r="G92" s="183" t="n">
        <f aca="false">+SUM(G66:G91)</f>
        <v>873250</v>
      </c>
      <c r="H92" s="183" t="n">
        <f aca="false">+SUM(H66:H91)</f>
        <v>97000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209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210</v>
      </c>
      <c r="B1" s="209"/>
      <c r="C1" s="210" t="n">
        <f aca="false">+'Plan Financement'!C14</f>
        <v>4500000</v>
      </c>
      <c r="D1" s="211" t="s">
        <v>211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212</v>
      </c>
      <c r="B2" s="209"/>
      <c r="C2" s="217" t="n">
        <f aca="false">+'Plan Financement'!B20</f>
        <v>0.08</v>
      </c>
      <c r="D2" s="218" t="s">
        <v>213</v>
      </c>
      <c r="E2" s="219" t="n">
        <f aca="false">C2/12</f>
        <v>0.00666666666666667</v>
      </c>
      <c r="F2" s="220" t="s">
        <v>214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215</v>
      </c>
      <c r="B3" s="209"/>
      <c r="C3" s="217" t="n">
        <f aca="false">+'Plan Financement'!B23</f>
        <v>0.17</v>
      </c>
      <c r="D3" s="222" t="s">
        <v>216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217</v>
      </c>
      <c r="B4" s="209"/>
      <c r="C4" s="223" t="n">
        <f aca="false">C2*(1+C3)</f>
        <v>0.0936</v>
      </c>
      <c r="D4" s="222" t="s">
        <v>216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218</v>
      </c>
      <c r="B5" s="209"/>
      <c r="C5" s="224" t="s">
        <v>214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219</v>
      </c>
      <c r="B6" s="209"/>
      <c r="C6" s="225" t="n">
        <f aca="false">+'Plan Financement'!B21</f>
        <v>3</v>
      </c>
      <c r="D6" s="226" t="s">
        <v>179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220</v>
      </c>
      <c r="B7" s="209"/>
      <c r="C7" s="225" t="n">
        <f aca="false">+'Plan Financement'!B19</f>
        <v>36</v>
      </c>
      <c r="D7" s="226" t="s">
        <v>179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221</v>
      </c>
      <c r="B8" s="209"/>
      <c r="C8" s="225" t="n">
        <f aca="false">+C7-C6</f>
        <v>33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222</v>
      </c>
      <c r="B10" s="230" t="s">
        <v>56</v>
      </c>
      <c r="C10" s="230" t="s">
        <v>223</v>
      </c>
      <c r="D10" s="230" t="s">
        <v>181</v>
      </c>
      <c r="E10" s="230" t="s">
        <v>224</v>
      </c>
      <c r="F10" s="230" t="s">
        <v>225</v>
      </c>
      <c r="G10" s="230"/>
      <c r="H10" s="230"/>
      <c r="I10" s="169"/>
      <c r="L10" s="231"/>
      <c r="M10" s="230" t="s">
        <v>223</v>
      </c>
      <c r="N10" s="230" t="s">
        <v>181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226</v>
      </c>
      <c r="G11" s="230" t="s">
        <v>227</v>
      </c>
      <c r="H11" s="230" t="s">
        <v>228</v>
      </c>
      <c r="I11" s="169"/>
      <c r="L11" s="230" t="s">
        <v>227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4500000</v>
      </c>
      <c r="C12" s="234" t="n">
        <f aca="false">+IF(M12&gt;=0,M12,0)</f>
        <v>30000</v>
      </c>
      <c r="D12" s="234" t="n">
        <f aca="false">+IF(N12&gt;=0,N12,0)</f>
        <v>5100</v>
      </c>
      <c r="E12" s="234" t="n">
        <f aca="false">+C12+D12</f>
        <v>35100</v>
      </c>
      <c r="F12" s="234" t="n">
        <f aca="false">+IF(C12&gt;1,J12,0)</f>
        <v>0</v>
      </c>
      <c r="G12" s="234" t="n">
        <f aca="false">+IF(E12&gt;1,L12,0)</f>
        <v>35100</v>
      </c>
      <c r="H12" s="234" t="n">
        <f aca="false">IF(F12&lt;=0,0,$L$50)</f>
        <v>0</v>
      </c>
      <c r="I12" s="169"/>
      <c r="J12" s="207" t="n">
        <f aca="false">+G12-E12</f>
        <v>0</v>
      </c>
      <c r="L12" s="235" t="n">
        <f aca="false">IF($C$6&lt;&gt;0,E12,($C$1/$C$8)+E12)</f>
        <v>35100</v>
      </c>
      <c r="M12" s="235" t="n">
        <f aca="false">B12*E$2</f>
        <v>30000</v>
      </c>
      <c r="N12" s="236" t="n">
        <f aca="false">M12*C$3</f>
        <v>5100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4500000</v>
      </c>
      <c r="C13" s="234" t="n">
        <f aca="false">+IF(M13&gt;=0,M13,0)</f>
        <v>30000</v>
      </c>
      <c r="D13" s="234" t="n">
        <f aca="false">+IF(N13&gt;=0,N13,0)</f>
        <v>5100</v>
      </c>
      <c r="E13" s="234" t="n">
        <f aca="false">+C13+D13</f>
        <v>35100</v>
      </c>
      <c r="F13" s="234" t="n">
        <f aca="false">+IF(C13&gt;1,J13,0)</f>
        <v>0</v>
      </c>
      <c r="G13" s="234" t="n">
        <f aca="false">+IF(E13&gt;1,L13,0)</f>
        <v>35100</v>
      </c>
      <c r="H13" s="234" t="n">
        <f aca="false">IF(F13&lt;=0,0,$L$50)</f>
        <v>0</v>
      </c>
      <c r="I13" s="169"/>
      <c r="J13" s="207" t="n">
        <f aca="false">+G13-E13</f>
        <v>0</v>
      </c>
      <c r="L13" s="235" t="n">
        <f aca="false">IF($C$6&gt;=2,E13,($C$1/$C$8)+E13)</f>
        <v>35100</v>
      </c>
      <c r="M13" s="235" t="n">
        <f aca="false">B13*E$2</f>
        <v>30000</v>
      </c>
      <c r="N13" s="236" t="n">
        <f aca="false">M13*C$3</f>
        <v>5100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4500000</v>
      </c>
      <c r="C14" s="234" t="n">
        <f aca="false">+IF(M14&gt;=0,M14,0)</f>
        <v>30000</v>
      </c>
      <c r="D14" s="234" t="n">
        <f aca="false">+IF(N14&gt;=0,N14,0)</f>
        <v>5100</v>
      </c>
      <c r="E14" s="234" t="n">
        <f aca="false">+C14+D14</f>
        <v>35100</v>
      </c>
      <c r="F14" s="234" t="n">
        <f aca="false">+IF(C14&gt;1,J14,0)</f>
        <v>0</v>
      </c>
      <c r="G14" s="234" t="n">
        <f aca="false">+IF(E14&gt;1,L14,0)</f>
        <v>35100</v>
      </c>
      <c r="H14" s="234" t="n">
        <f aca="false">IF(F14&lt;=0,0,$L$50)</f>
        <v>0</v>
      </c>
      <c r="I14" s="169"/>
      <c r="J14" s="207" t="n">
        <f aca="false">+G14-E14</f>
        <v>0</v>
      </c>
      <c r="L14" s="235" t="n">
        <f aca="false">IF($C$6&gt;=3,E14,($C$1/$C$8)+E14)</f>
        <v>35100</v>
      </c>
      <c r="M14" s="235" t="n">
        <f aca="false">B14*E$2</f>
        <v>30000</v>
      </c>
      <c r="N14" s="236" t="n">
        <f aca="false">M14*C$3</f>
        <v>5100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4500000</v>
      </c>
      <c r="C15" s="234" t="n">
        <f aca="false">+IF(M15&gt;=0,M15,0)</f>
        <v>30000</v>
      </c>
      <c r="D15" s="234" t="n">
        <f aca="false">+IF(N15&gt;=0,N15,0)</f>
        <v>5100</v>
      </c>
      <c r="E15" s="234" t="n">
        <f aca="false">+C15+D15</f>
        <v>35100</v>
      </c>
      <c r="F15" s="234" t="n">
        <f aca="false">+IF(C15&gt;1,J15,0)</f>
        <v>136363.636363636</v>
      </c>
      <c r="G15" s="234" t="n">
        <f aca="false">+IF(E15&gt;1,L15,0)</f>
        <v>171463.636363636</v>
      </c>
      <c r="H15" s="234" t="n">
        <f aca="false">IF(F15&lt;=0,0,$L$50)</f>
        <v>157636.363636364</v>
      </c>
      <c r="I15" s="169"/>
      <c r="J15" s="207" t="n">
        <f aca="false">+G15-E15</f>
        <v>136363.636363636</v>
      </c>
      <c r="L15" s="235" t="n">
        <f aca="false">IF($C$6&gt;=4,E15,($C$1/$C$8)+E15)</f>
        <v>171463.636363636</v>
      </c>
      <c r="M15" s="235" t="n">
        <f aca="false">B15*E$2</f>
        <v>30000</v>
      </c>
      <c r="N15" s="236" t="n">
        <f aca="false">M15*C$3</f>
        <v>5100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4363636.36363636</v>
      </c>
      <c r="C16" s="234" t="n">
        <f aca="false">+IF(M16&gt;=0,M16,0)</f>
        <v>29090.9090909091</v>
      </c>
      <c r="D16" s="234" t="n">
        <f aca="false">+IF(N16&gt;=0,N16,0)</f>
        <v>4945.45454545455</v>
      </c>
      <c r="E16" s="234" t="n">
        <f aca="false">+C16+D16</f>
        <v>34036.3636363636</v>
      </c>
      <c r="F16" s="234" t="n">
        <f aca="false">+IF(C16&gt;1,J16,0)</f>
        <v>136363.636363636</v>
      </c>
      <c r="G16" s="234" t="n">
        <f aca="false">+IF(E16&gt;1,L16,0)</f>
        <v>170400</v>
      </c>
      <c r="H16" s="234" t="n">
        <f aca="false">IF(F16&lt;=0,0,$L$50)</f>
        <v>157636.363636364</v>
      </c>
      <c r="I16" s="169"/>
      <c r="J16" s="207" t="n">
        <f aca="false">+G16-E16</f>
        <v>136363.636363636</v>
      </c>
      <c r="L16" s="235" t="n">
        <f aca="false">IF($C$6&gt;=5,E16,($C$1/$C$8)+E16)</f>
        <v>170400</v>
      </c>
      <c r="M16" s="235" t="n">
        <f aca="false">B16*E$2</f>
        <v>29090.9090909091</v>
      </c>
      <c r="N16" s="236" t="n">
        <f aca="false">M16*C$3</f>
        <v>4945.45454545455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4227272.72727273</v>
      </c>
      <c r="C17" s="234" t="n">
        <f aca="false">+IF(M17&gt;=0,M17,0)</f>
        <v>28181.8181818182</v>
      </c>
      <c r="D17" s="234" t="n">
        <f aca="false">+IF(N17&gt;=0,N17,0)</f>
        <v>4790.90909090909</v>
      </c>
      <c r="E17" s="234" t="n">
        <f aca="false">+C17+D17</f>
        <v>32972.7272727273</v>
      </c>
      <c r="F17" s="234" t="n">
        <f aca="false">+IF(C17&gt;1,J17,0)</f>
        <v>136363.636363636</v>
      </c>
      <c r="G17" s="234" t="n">
        <f aca="false">+IF(E17&gt;1,L17,0)</f>
        <v>169336.363636364</v>
      </c>
      <c r="H17" s="234" t="n">
        <f aca="false">IF(F17&lt;=0,0,$L$50)</f>
        <v>157636.363636364</v>
      </c>
      <c r="I17" s="169"/>
      <c r="J17" s="207" t="n">
        <f aca="false">+G17-E17</f>
        <v>136363.636363636</v>
      </c>
      <c r="L17" s="235" t="n">
        <f aca="false">IF($C$6&gt;=6,E17,($C$1/$C$8)+E17)</f>
        <v>169336.363636364</v>
      </c>
      <c r="M17" s="235" t="n">
        <f aca="false">B17*E$2</f>
        <v>28181.8181818182</v>
      </c>
      <c r="N17" s="236" t="n">
        <f aca="false">M17*C$3</f>
        <v>4790.90909090909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4090909.09090909</v>
      </c>
      <c r="C18" s="234" t="n">
        <f aca="false">+IF(M18&gt;=0,M18,0)</f>
        <v>27272.7272727273</v>
      </c>
      <c r="D18" s="234" t="n">
        <f aca="false">+IF(N18&gt;=0,N18,0)</f>
        <v>4636.36363636364</v>
      </c>
      <c r="E18" s="234" t="n">
        <f aca="false">+C18+D18</f>
        <v>31909.0909090909</v>
      </c>
      <c r="F18" s="234" t="n">
        <f aca="false">+IF(C18&gt;1,J18,0)</f>
        <v>136363.636363636</v>
      </c>
      <c r="G18" s="234" t="n">
        <f aca="false">+IF(E18&gt;1,L18,0)</f>
        <v>168272.727272727</v>
      </c>
      <c r="H18" s="234" t="n">
        <f aca="false">IF(F18&lt;=0,0,$L$50)</f>
        <v>157636.363636364</v>
      </c>
      <c r="I18" s="169"/>
      <c r="J18" s="207" t="n">
        <f aca="false">+G18-E18</f>
        <v>136363.636363636</v>
      </c>
      <c r="L18" s="235" t="n">
        <f aca="false">IF($C$6&gt;=7,E18,($C$1/$C$8)+E18)</f>
        <v>168272.727272727</v>
      </c>
      <c r="M18" s="235" t="n">
        <f aca="false">B18*E$2</f>
        <v>27272.7272727273</v>
      </c>
      <c r="N18" s="236" t="n">
        <f aca="false">M18*C$3</f>
        <v>4636.36363636364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3954545.45454545</v>
      </c>
      <c r="C19" s="234" t="n">
        <f aca="false">+IF(M19&gt;=0,M19,0)</f>
        <v>26363.6363636364</v>
      </c>
      <c r="D19" s="234" t="n">
        <f aca="false">+IF(N19&gt;=0,N19,0)</f>
        <v>4481.81818181818</v>
      </c>
      <c r="E19" s="234" t="n">
        <f aca="false">+C19+D19</f>
        <v>30845.4545454545</v>
      </c>
      <c r="F19" s="234" t="n">
        <f aca="false">+IF(C19&gt;1,J19,0)</f>
        <v>136363.636363636</v>
      </c>
      <c r="G19" s="234" t="n">
        <f aca="false">+IF(E19&gt;1,L19,0)</f>
        <v>167209.090909091</v>
      </c>
      <c r="H19" s="234" t="n">
        <f aca="false">IF(F19&lt;=0,0,$L$50)</f>
        <v>157636.363636364</v>
      </c>
      <c r="I19" s="169"/>
      <c r="J19" s="207" t="n">
        <f aca="false">+G19-E19</f>
        <v>136363.636363636</v>
      </c>
      <c r="L19" s="235" t="n">
        <f aca="false">IF($C$6&gt;=8,E19,($C$1/$C$8)+E19)</f>
        <v>167209.090909091</v>
      </c>
      <c r="M19" s="235" t="n">
        <f aca="false">B19*E$2</f>
        <v>26363.6363636364</v>
      </c>
      <c r="N19" s="236" t="n">
        <f aca="false">M19*C$3</f>
        <v>4481.81818181818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3818181.81818182</v>
      </c>
      <c r="C20" s="234" t="n">
        <f aca="false">+IF(M20&gt;=0,M20,0)</f>
        <v>25454.5454545455</v>
      </c>
      <c r="D20" s="234" t="n">
        <f aca="false">+IF(N20&gt;=0,N20,0)</f>
        <v>4327.27272727273</v>
      </c>
      <c r="E20" s="234" t="n">
        <f aca="false">+C20+D20</f>
        <v>29781.8181818182</v>
      </c>
      <c r="F20" s="234" t="n">
        <f aca="false">+IF(C20&gt;1,J20,0)</f>
        <v>136363.636363636</v>
      </c>
      <c r="G20" s="234" t="n">
        <f aca="false">+IF(E20&gt;1,L20,0)</f>
        <v>166145.454545455</v>
      </c>
      <c r="H20" s="234" t="n">
        <f aca="false">IF(F20&lt;=0,0,$L$50)</f>
        <v>157636.363636364</v>
      </c>
      <c r="I20" s="169"/>
      <c r="J20" s="207" t="n">
        <f aca="false">+G20-E20</f>
        <v>136363.636363636</v>
      </c>
      <c r="L20" s="235" t="n">
        <f aca="false">IF($C$6&gt;=9,E20,($C$1/$C$8)+E20)</f>
        <v>166145.454545455</v>
      </c>
      <c r="M20" s="235" t="n">
        <f aca="false">B20*E$2</f>
        <v>25454.5454545455</v>
      </c>
      <c r="N20" s="236" t="n">
        <f aca="false">M20*C$3</f>
        <v>4327.27272727273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3681818.18181818</v>
      </c>
      <c r="C21" s="234" t="n">
        <f aca="false">+IF(M21&gt;=0,M21,0)</f>
        <v>24545.4545454545</v>
      </c>
      <c r="D21" s="234" t="n">
        <f aca="false">+IF(N21&gt;=0,N21,0)</f>
        <v>4172.72727272727</v>
      </c>
      <c r="E21" s="234" t="n">
        <f aca="false">+C21+D21</f>
        <v>28718.1818181818</v>
      </c>
      <c r="F21" s="234" t="n">
        <f aca="false">+IF(C21&gt;1,J21,0)</f>
        <v>136363.636363636</v>
      </c>
      <c r="G21" s="234" t="n">
        <f aca="false">+IF(E21&gt;1,L21,0)</f>
        <v>165081.818181818</v>
      </c>
      <c r="H21" s="234" t="n">
        <f aca="false">IF(F21&lt;=0,0,$L$50)</f>
        <v>157636.363636364</v>
      </c>
      <c r="I21" s="169"/>
      <c r="J21" s="207" t="n">
        <f aca="false">+G21-E21</f>
        <v>136363.636363636</v>
      </c>
      <c r="L21" s="235" t="n">
        <f aca="false">IF($C$6&gt;=10,E21,($C$1/$C$8)+E21)</f>
        <v>165081.818181818</v>
      </c>
      <c r="M21" s="235" t="n">
        <f aca="false">B21*E$2</f>
        <v>24545.4545454545</v>
      </c>
      <c r="N21" s="236" t="n">
        <f aca="false">M21*C$3</f>
        <v>4172.72727272727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3545454.54545455</v>
      </c>
      <c r="C22" s="234" t="n">
        <f aca="false">+IF(M22&gt;=0,M22,0)</f>
        <v>23636.3636363636</v>
      </c>
      <c r="D22" s="234" t="n">
        <f aca="false">+IF(N22&gt;=0,N22,0)</f>
        <v>4018.18181818182</v>
      </c>
      <c r="E22" s="234" t="n">
        <f aca="false">+C22+D22</f>
        <v>27654.5454545455</v>
      </c>
      <c r="F22" s="234" t="n">
        <f aca="false">+IF(C22&gt;1,J22,0)</f>
        <v>136363.636363636</v>
      </c>
      <c r="G22" s="234" t="n">
        <f aca="false">+IF(E22&gt;1,L22,0)</f>
        <v>164018.181818182</v>
      </c>
      <c r="H22" s="234" t="n">
        <f aca="false">IF(F22&lt;=0,0,$L$50)</f>
        <v>157636.363636364</v>
      </c>
      <c r="I22" s="169"/>
      <c r="J22" s="207" t="n">
        <f aca="false">+G22-E22</f>
        <v>136363.636363636</v>
      </c>
      <c r="L22" s="235" t="n">
        <f aca="false">IF($C$6&gt;=11,E22,($C$1/$C$8)+E22)</f>
        <v>164018.181818182</v>
      </c>
      <c r="M22" s="235" t="n">
        <f aca="false">B22*E$2</f>
        <v>23636.3636363636</v>
      </c>
      <c r="N22" s="236" t="n">
        <f aca="false">M22*C$3</f>
        <v>4018.18181818182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3409090.90909091</v>
      </c>
      <c r="C23" s="238" t="n">
        <f aca="false">+IF(M23&gt;=0,M23,0)</f>
        <v>22727.2727272727</v>
      </c>
      <c r="D23" s="238" t="n">
        <f aca="false">+IF(N23&gt;=0,N23,0)</f>
        <v>3863.63636363636</v>
      </c>
      <c r="E23" s="238" t="n">
        <f aca="false">+C23+D23</f>
        <v>26590.9090909091</v>
      </c>
      <c r="F23" s="238" t="n">
        <f aca="false">+IF(C23&gt;1,J23,0)</f>
        <v>136363.636363636</v>
      </c>
      <c r="G23" s="238" t="n">
        <f aca="false">+IF(E23&gt;1,L23,0)</f>
        <v>162954.545454545</v>
      </c>
      <c r="H23" s="238" t="n">
        <f aca="false">IF(F23&lt;=0,0,$L$50)</f>
        <v>157636.363636364</v>
      </c>
      <c r="I23" s="169"/>
      <c r="J23" s="207" t="n">
        <f aca="false">+G23-E23</f>
        <v>136363.636363636</v>
      </c>
      <c r="L23" s="239" t="n">
        <f aca="false">IF($C$6&gt;=12,E23,($C$1/$C$8)+E23)</f>
        <v>162954.545454545</v>
      </c>
      <c r="M23" s="239" t="n">
        <f aca="false">B23*E$2</f>
        <v>22727.2727272727</v>
      </c>
      <c r="N23" s="239" t="n">
        <f aca="false">M23*C$3</f>
        <v>3863.63636363636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3272727.27272727</v>
      </c>
      <c r="C24" s="234" t="n">
        <f aca="false">+IF(M24&gt;=0,M24,0)</f>
        <v>21818.1818181818</v>
      </c>
      <c r="D24" s="234" t="n">
        <f aca="false">+IF(N24&gt;=0,N24,0)</f>
        <v>3709.09090909091</v>
      </c>
      <c r="E24" s="234" t="n">
        <f aca="false">+C24+D24</f>
        <v>25527.2727272727</v>
      </c>
      <c r="F24" s="234" t="n">
        <f aca="false">+IF(C24&gt;1,J24,0)</f>
        <v>136363.636363636</v>
      </c>
      <c r="G24" s="234" t="n">
        <f aca="false">+IF(E24&gt;1,L24,0)</f>
        <v>161890.909090909</v>
      </c>
      <c r="H24" s="234" t="n">
        <f aca="false">IF(F24&lt;=0,0,$L$50)</f>
        <v>157636.363636364</v>
      </c>
      <c r="I24" s="169"/>
      <c r="J24" s="207" t="n">
        <f aca="false">+G24-E24</f>
        <v>136363.636363636</v>
      </c>
      <c r="L24" s="235" t="n">
        <f aca="false">IF($C$6&gt;=13,E24,($C$1/$C$8)+E24)</f>
        <v>161890.909090909</v>
      </c>
      <c r="M24" s="235" t="n">
        <f aca="false">B24*E$2</f>
        <v>21818.1818181818</v>
      </c>
      <c r="N24" s="236" t="n">
        <f aca="false">M24*C$3</f>
        <v>3709.09090909091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3136363.63636364</v>
      </c>
      <c r="C25" s="234" t="n">
        <f aca="false">+IF(M25&gt;=0,M25,0)</f>
        <v>20909.0909090909</v>
      </c>
      <c r="D25" s="234" t="n">
        <f aca="false">+IF(N25&gt;=0,N25,0)</f>
        <v>3554.54545454546</v>
      </c>
      <c r="E25" s="234" t="n">
        <f aca="false">+C25+D25</f>
        <v>24463.6363636364</v>
      </c>
      <c r="F25" s="234" t="n">
        <f aca="false">+IF(C25&gt;1,J25,0)</f>
        <v>136363.636363636</v>
      </c>
      <c r="G25" s="234" t="n">
        <f aca="false">+IF(E25&gt;1,L25,0)</f>
        <v>160827.272727273</v>
      </c>
      <c r="H25" s="234" t="n">
        <f aca="false">IF(F25&lt;=0,0,$L$50)</f>
        <v>157636.363636364</v>
      </c>
      <c r="I25" s="169"/>
      <c r="J25" s="207" t="n">
        <f aca="false">+G25-E25</f>
        <v>136363.636363636</v>
      </c>
      <c r="L25" s="235" t="n">
        <f aca="false">IF($C$6&gt;=14,E25,($C$1/$C$8)+E25)</f>
        <v>160827.272727273</v>
      </c>
      <c r="M25" s="235" t="n">
        <f aca="false">B25*E$2</f>
        <v>20909.0909090909</v>
      </c>
      <c r="N25" s="236" t="n">
        <f aca="false">M25*C$3</f>
        <v>3554.54545454546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3000000</v>
      </c>
      <c r="C26" s="234" t="n">
        <f aca="false">+IF(M26&gt;=0,M26,0)</f>
        <v>20000</v>
      </c>
      <c r="D26" s="234" t="n">
        <f aca="false">+IF(N26&gt;=0,N26,0)</f>
        <v>3400</v>
      </c>
      <c r="E26" s="234" t="n">
        <f aca="false">+C26+D26</f>
        <v>23400</v>
      </c>
      <c r="F26" s="234" t="n">
        <f aca="false">+IF(C26&gt;1,J26,0)</f>
        <v>136363.636363636</v>
      </c>
      <c r="G26" s="234" t="n">
        <f aca="false">+IF(E26&gt;1,L26,0)</f>
        <v>159763.636363636</v>
      </c>
      <c r="H26" s="234" t="n">
        <f aca="false">IF(F26&lt;=0,0,$L$50)</f>
        <v>157636.363636364</v>
      </c>
      <c r="I26" s="169"/>
      <c r="J26" s="207" t="n">
        <f aca="false">+G26-E26</f>
        <v>136363.636363636</v>
      </c>
      <c r="L26" s="235" t="n">
        <f aca="false">IF($C$6&gt;=15,E26,($C$1/$C$8)+E26)</f>
        <v>159763.636363636</v>
      </c>
      <c r="M26" s="235" t="n">
        <f aca="false">B26*E$2</f>
        <v>20000</v>
      </c>
      <c r="N26" s="236" t="n">
        <f aca="false">M26*C$3</f>
        <v>3400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2863636.36363636</v>
      </c>
      <c r="C27" s="234" t="n">
        <f aca="false">+IF(M27&gt;=0,M27,0)</f>
        <v>19090.9090909091</v>
      </c>
      <c r="D27" s="234" t="n">
        <f aca="false">+IF(N27&gt;=0,N27,0)</f>
        <v>3245.45454545455</v>
      </c>
      <c r="E27" s="234" t="n">
        <f aca="false">+C27+D27</f>
        <v>22336.3636363636</v>
      </c>
      <c r="F27" s="234" t="n">
        <f aca="false">+IF(C27&gt;1,J27,0)</f>
        <v>136363.636363636</v>
      </c>
      <c r="G27" s="234" t="n">
        <f aca="false">+IF(E27&gt;1,L27,0)</f>
        <v>158700</v>
      </c>
      <c r="H27" s="234" t="n">
        <f aca="false">IF(F27&lt;=0,0,$L$50)</f>
        <v>157636.363636364</v>
      </c>
      <c r="I27" s="169"/>
      <c r="J27" s="207" t="n">
        <f aca="false">+G27-E27</f>
        <v>136363.636363636</v>
      </c>
      <c r="L27" s="235" t="n">
        <f aca="false">IF($C$6&gt;=16,E27,($C$1/$C$8)+E27)</f>
        <v>158700</v>
      </c>
      <c r="M27" s="235" t="n">
        <f aca="false">B27*E$2</f>
        <v>19090.9090909091</v>
      </c>
      <c r="N27" s="236" t="n">
        <f aca="false">M27*C$3</f>
        <v>3245.45454545455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2727272.72727273</v>
      </c>
      <c r="C28" s="234" t="n">
        <f aca="false">+IF(M28&gt;=0,M28,0)</f>
        <v>18181.8181818182</v>
      </c>
      <c r="D28" s="234" t="n">
        <f aca="false">+IF(N28&gt;=0,N28,0)</f>
        <v>3090.90909090909</v>
      </c>
      <c r="E28" s="234" t="n">
        <f aca="false">+C28+D28</f>
        <v>21272.7272727273</v>
      </c>
      <c r="F28" s="234" t="n">
        <f aca="false">+IF(C28&gt;1,J28,0)</f>
        <v>136363.636363636</v>
      </c>
      <c r="G28" s="234" t="n">
        <f aca="false">+IF(E28&gt;1,L28,0)</f>
        <v>157636.363636364</v>
      </c>
      <c r="H28" s="234" t="n">
        <f aca="false">IF(F28&lt;=0,0,$L$50)</f>
        <v>157636.363636364</v>
      </c>
      <c r="I28" s="169"/>
      <c r="J28" s="207" t="n">
        <f aca="false">+G28-E28</f>
        <v>136363.636363636</v>
      </c>
      <c r="L28" s="235" t="n">
        <f aca="false">IF($C$6&gt;=17,E28,($C$1/$C$8)+E28)</f>
        <v>157636.363636364</v>
      </c>
      <c r="M28" s="235" t="n">
        <f aca="false">B28*E$2</f>
        <v>18181.8181818182</v>
      </c>
      <c r="N28" s="236" t="n">
        <f aca="false">M28*C$3</f>
        <v>3090.90909090909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2590909.09090909</v>
      </c>
      <c r="C29" s="234" t="n">
        <f aca="false">+IF(M29&gt;=0,M29,0)</f>
        <v>17272.7272727273</v>
      </c>
      <c r="D29" s="234" t="n">
        <f aca="false">+IF(N29&gt;=0,N29,0)</f>
        <v>2936.36363636364</v>
      </c>
      <c r="E29" s="234" t="n">
        <f aca="false">+C29+D29</f>
        <v>20209.0909090909</v>
      </c>
      <c r="F29" s="234" t="n">
        <f aca="false">+IF(C29&gt;1,J29,0)</f>
        <v>136363.636363636</v>
      </c>
      <c r="G29" s="234" t="n">
        <f aca="false">+IF(E29&gt;1,L29,0)</f>
        <v>156572.727272727</v>
      </c>
      <c r="H29" s="234" t="n">
        <f aca="false">IF(F29&lt;=0,0,$L$50)</f>
        <v>157636.363636364</v>
      </c>
      <c r="I29" s="169"/>
      <c r="J29" s="207" t="n">
        <f aca="false">+G29-E29</f>
        <v>136363.636363636</v>
      </c>
      <c r="L29" s="235" t="n">
        <f aca="false">IF($C$6&gt;=18,E29,($C$1/$C$8)+E29)</f>
        <v>156572.727272727</v>
      </c>
      <c r="M29" s="235" t="n">
        <f aca="false">B29*E$2</f>
        <v>17272.7272727273</v>
      </c>
      <c r="N29" s="236" t="n">
        <f aca="false">M29*C$3</f>
        <v>2936.36363636364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2454545.45454546</v>
      </c>
      <c r="C30" s="234" t="n">
        <f aca="false">+IF(M30&gt;=0,M30,0)</f>
        <v>16363.6363636364</v>
      </c>
      <c r="D30" s="234" t="n">
        <f aca="false">+IF(N30&gt;=0,N30,0)</f>
        <v>2781.81818181818</v>
      </c>
      <c r="E30" s="234" t="n">
        <f aca="false">+C30+D30</f>
        <v>19145.4545454546</v>
      </c>
      <c r="F30" s="234" t="n">
        <f aca="false">+IF(C30&gt;1,J30,0)</f>
        <v>136363.636363636</v>
      </c>
      <c r="G30" s="234" t="n">
        <f aca="false">+IF(E30&gt;1,L30,0)</f>
        <v>155509.090909091</v>
      </c>
      <c r="H30" s="234" t="n">
        <f aca="false">IF(F30&lt;=0,0,$L$50)</f>
        <v>157636.363636364</v>
      </c>
      <c r="I30" s="169"/>
      <c r="J30" s="207" t="n">
        <f aca="false">+G30-E30</f>
        <v>136363.636363636</v>
      </c>
      <c r="L30" s="235" t="n">
        <f aca="false">IF($C$6&gt;=19,E30,($C$1/$C$8)+E30)</f>
        <v>155509.090909091</v>
      </c>
      <c r="M30" s="235" t="n">
        <f aca="false">B30*E$2</f>
        <v>16363.6363636364</v>
      </c>
      <c r="N30" s="236" t="n">
        <f aca="false">M30*C$3</f>
        <v>2781.81818181818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2318181.81818182</v>
      </c>
      <c r="C31" s="234" t="n">
        <f aca="false">+IF(M31&gt;=0,M31,0)</f>
        <v>15454.5454545455</v>
      </c>
      <c r="D31" s="234" t="n">
        <f aca="false">+IF(N31&gt;=0,N31,0)</f>
        <v>2627.27272727273</v>
      </c>
      <c r="E31" s="234" t="n">
        <f aca="false">+C31+D31</f>
        <v>18081.8181818182</v>
      </c>
      <c r="F31" s="234" t="n">
        <f aca="false">+IF(C31&gt;1,J31,0)</f>
        <v>136363.636363636</v>
      </c>
      <c r="G31" s="234" t="n">
        <f aca="false">+IF(E31&gt;1,L31,0)</f>
        <v>154445.454545455</v>
      </c>
      <c r="H31" s="234" t="n">
        <f aca="false">IF(F31&lt;=0,0,$L$50)</f>
        <v>157636.363636364</v>
      </c>
      <c r="I31" s="169"/>
      <c r="J31" s="207" t="n">
        <f aca="false">+G31-E31</f>
        <v>136363.636363636</v>
      </c>
      <c r="L31" s="235" t="n">
        <f aca="false">IF($C$6&gt;=20,E31,($C$1/$C$8)+E31)</f>
        <v>154445.454545455</v>
      </c>
      <c r="M31" s="235" t="n">
        <f aca="false">B31*E$2</f>
        <v>15454.5454545455</v>
      </c>
      <c r="N31" s="236" t="n">
        <f aca="false">M31*C$3</f>
        <v>2627.27272727273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2181818.18181818</v>
      </c>
      <c r="C32" s="234" t="n">
        <f aca="false">+IF(M32&gt;=0,M32,0)</f>
        <v>14545.4545454546</v>
      </c>
      <c r="D32" s="234" t="n">
        <f aca="false">+IF(N32&gt;=0,N32,0)</f>
        <v>2472.72727272727</v>
      </c>
      <c r="E32" s="234" t="n">
        <f aca="false">+C32+D32</f>
        <v>17018.1818181818</v>
      </c>
      <c r="F32" s="234" t="n">
        <f aca="false">+IF(C32&gt;1,J32,0)</f>
        <v>136363.636363636</v>
      </c>
      <c r="G32" s="234" t="n">
        <f aca="false">+IF(E32&gt;1,L32,0)</f>
        <v>153381.818181818</v>
      </c>
      <c r="H32" s="234" t="n">
        <f aca="false">IF(F32&lt;=0,0,$L$50)</f>
        <v>157636.363636364</v>
      </c>
      <c r="I32" s="169"/>
      <c r="J32" s="207" t="n">
        <f aca="false">+G32-E32</f>
        <v>136363.636363636</v>
      </c>
      <c r="L32" s="235" t="n">
        <f aca="false">IF($C$6&gt;=21,E32,($C$1/$C$8)+E32)</f>
        <v>153381.818181818</v>
      </c>
      <c r="M32" s="235" t="n">
        <f aca="false">B32*E$2</f>
        <v>14545.4545454546</v>
      </c>
      <c r="N32" s="236" t="n">
        <f aca="false">M32*C$3</f>
        <v>2472.72727272727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2045454.54545455</v>
      </c>
      <c r="C33" s="234" t="n">
        <f aca="false">+IF(M33&gt;=0,M33,0)</f>
        <v>13636.3636363636</v>
      </c>
      <c r="D33" s="234" t="n">
        <f aca="false">+IF(N33&gt;=0,N33,0)</f>
        <v>2318.18181818182</v>
      </c>
      <c r="E33" s="234" t="n">
        <f aca="false">+C33+D33</f>
        <v>15954.5454545455</v>
      </c>
      <c r="F33" s="234" t="n">
        <f aca="false">+IF(C33&gt;1,J33,0)</f>
        <v>136363.636363636</v>
      </c>
      <c r="G33" s="234" t="n">
        <f aca="false">+IF(E33&gt;1,L33,0)</f>
        <v>152318.181818182</v>
      </c>
      <c r="H33" s="234" t="n">
        <f aca="false">IF(F33&lt;=0,0,$L$50)</f>
        <v>157636.363636364</v>
      </c>
      <c r="I33" s="169"/>
      <c r="J33" s="207" t="n">
        <f aca="false">+G33-E33</f>
        <v>136363.636363636</v>
      </c>
      <c r="L33" s="235" t="n">
        <f aca="false">IF($C$6&gt;=22,E33,($C$1/$C$8)+E33)</f>
        <v>152318.181818182</v>
      </c>
      <c r="M33" s="235" t="n">
        <f aca="false">B33*E$2</f>
        <v>13636.3636363636</v>
      </c>
      <c r="N33" s="236" t="n">
        <f aca="false">M33*C$3</f>
        <v>2318.18181818182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1909090.90909091</v>
      </c>
      <c r="C34" s="234" t="n">
        <f aca="false">+IF(M34&gt;=0,M34,0)</f>
        <v>12727.2727272727</v>
      </c>
      <c r="D34" s="234" t="n">
        <f aca="false">+IF(N34&gt;=0,N34,0)</f>
        <v>2163.63636363637</v>
      </c>
      <c r="E34" s="234" t="n">
        <f aca="false">+C34+D34</f>
        <v>14890.9090909091</v>
      </c>
      <c r="F34" s="234" t="n">
        <f aca="false">+IF(C34&gt;1,J34,0)</f>
        <v>136363.636363636</v>
      </c>
      <c r="G34" s="234" t="n">
        <f aca="false">+IF(E34&gt;1,L34,0)</f>
        <v>151254.545454545</v>
      </c>
      <c r="H34" s="234" t="n">
        <f aca="false">IF(F34&lt;=0,0,$L$50)</f>
        <v>157636.363636364</v>
      </c>
      <c r="I34" s="169"/>
      <c r="J34" s="207" t="n">
        <f aca="false">+G34-E34</f>
        <v>136363.636363636</v>
      </c>
      <c r="L34" s="235" t="n">
        <f aca="false">IF($C$6&gt;=23,E34,($C$1/$C$8)+E34)</f>
        <v>151254.545454545</v>
      </c>
      <c r="M34" s="235" t="n">
        <f aca="false">B34*E$2</f>
        <v>12727.2727272727</v>
      </c>
      <c r="N34" s="236" t="n">
        <f aca="false">M34*C$3</f>
        <v>2163.63636363637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1772727.27272727</v>
      </c>
      <c r="C35" s="238" t="n">
        <f aca="false">+IF(M35&gt;=0,M35,0)</f>
        <v>11818.1818181818</v>
      </c>
      <c r="D35" s="238" t="n">
        <f aca="false">+IF(N35&gt;=0,N35,0)</f>
        <v>2009.09090909091</v>
      </c>
      <c r="E35" s="238" t="n">
        <f aca="false">+C35+D35</f>
        <v>13827.2727272727</v>
      </c>
      <c r="F35" s="238" t="n">
        <f aca="false">+IF(C35&gt;1,J35,0)</f>
        <v>136363.636363636</v>
      </c>
      <c r="G35" s="238" t="n">
        <f aca="false">+IF(E35&gt;1,L35,0)</f>
        <v>150190.909090909</v>
      </c>
      <c r="H35" s="238" t="n">
        <f aca="false">IF(F35&lt;=0,0,$L$50)</f>
        <v>157636.363636364</v>
      </c>
      <c r="I35" s="169"/>
      <c r="J35" s="207" t="n">
        <f aca="false">+G35-E35</f>
        <v>136363.636363636</v>
      </c>
      <c r="L35" s="239" t="n">
        <f aca="false">IF($C$6&gt;=24,E35,($C$1/$C$8)+E35)</f>
        <v>150190.909090909</v>
      </c>
      <c r="M35" s="239" t="n">
        <f aca="false">B35*E$2</f>
        <v>11818.1818181818</v>
      </c>
      <c r="N35" s="239" t="n">
        <f aca="false">M35*C$3</f>
        <v>2009.09090909091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1636363.63636364</v>
      </c>
      <c r="C36" s="234" t="n">
        <f aca="false">+IF(M36&gt;=0,M36,0)</f>
        <v>10909.0909090909</v>
      </c>
      <c r="D36" s="234" t="n">
        <f aca="false">+IF(N36&gt;=0,N36,0)</f>
        <v>1854.54545454546</v>
      </c>
      <c r="E36" s="234" t="n">
        <f aca="false">+C36+D36</f>
        <v>12763.6363636364</v>
      </c>
      <c r="F36" s="234" t="n">
        <f aca="false">+IF(C36&gt;1,J36,0)</f>
        <v>136363.636363636</v>
      </c>
      <c r="G36" s="234" t="n">
        <f aca="false">+IF(E36&gt;1,L36,0)</f>
        <v>149127.272727273</v>
      </c>
      <c r="H36" s="234" t="n">
        <f aca="false">IF(F36&lt;=0,0,$L$50)</f>
        <v>157636.363636364</v>
      </c>
      <c r="I36" s="169"/>
      <c r="J36" s="207" t="n">
        <f aca="false">+G36-E36</f>
        <v>136363.636363636</v>
      </c>
      <c r="L36" s="235" t="n">
        <f aca="false">IF($C$6&gt;=25,E36,($C$1/$C$8)+E36)</f>
        <v>149127.272727273</v>
      </c>
      <c r="M36" s="235" t="n">
        <f aca="false">B36*E$2</f>
        <v>10909.0909090909</v>
      </c>
      <c r="N36" s="236" t="n">
        <f aca="false">M36*C$3</f>
        <v>1854.54545454546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1500000</v>
      </c>
      <c r="C37" s="234" t="n">
        <f aca="false">+IF(M37&gt;=0,M37,0)</f>
        <v>10000</v>
      </c>
      <c r="D37" s="234" t="n">
        <f aca="false">+IF(N37&gt;=0,N37,0)</f>
        <v>1700</v>
      </c>
      <c r="E37" s="234" t="n">
        <f aca="false">+C37+D37</f>
        <v>11700</v>
      </c>
      <c r="F37" s="234" t="n">
        <f aca="false">+IF(C37&gt;1,J37,0)</f>
        <v>136363.636363636</v>
      </c>
      <c r="G37" s="234" t="n">
        <f aca="false">+IF(E37&gt;1,L37,0)</f>
        <v>148063.636363636</v>
      </c>
      <c r="H37" s="234" t="n">
        <f aca="false">IF(F37&lt;=0,0,$L$50)</f>
        <v>157636.363636364</v>
      </c>
      <c r="I37" s="169"/>
      <c r="J37" s="207" t="n">
        <f aca="false">+G37-E37</f>
        <v>136363.636363636</v>
      </c>
      <c r="L37" s="235" t="n">
        <f aca="false">IF($C$6&gt;=26,E37,($C$1/$C$8)+E37)</f>
        <v>148063.636363636</v>
      </c>
      <c r="M37" s="235" t="n">
        <f aca="false">B37*E$2</f>
        <v>10000</v>
      </c>
      <c r="N37" s="236" t="n">
        <f aca="false">M37*C$3</f>
        <v>1700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1363636.36363637</v>
      </c>
      <c r="C38" s="234" t="n">
        <f aca="false">+IF(M38&gt;=0,M38,0)</f>
        <v>9090.90909090911</v>
      </c>
      <c r="D38" s="234" t="n">
        <f aca="false">+IF(N38&gt;=0,N38,0)</f>
        <v>1545.45454545455</v>
      </c>
      <c r="E38" s="234" t="n">
        <f aca="false">+C38+D38</f>
        <v>10636.3636363637</v>
      </c>
      <c r="F38" s="234" t="n">
        <f aca="false">+IF(C38&gt;1,J38,0)</f>
        <v>136363.636363636</v>
      </c>
      <c r="G38" s="234" t="n">
        <f aca="false">+IF(E38&gt;1,L38,0)</f>
        <v>147000</v>
      </c>
      <c r="H38" s="234" t="n">
        <f aca="false">IF(F38&lt;=0,0,$L$50)</f>
        <v>157636.363636364</v>
      </c>
      <c r="I38" s="169"/>
      <c r="J38" s="207" t="n">
        <f aca="false">+G38-E38</f>
        <v>136363.636363636</v>
      </c>
      <c r="L38" s="235" t="n">
        <f aca="false">IF($C$6&gt;=27,E38,($C$1/$C$8)+E38)</f>
        <v>147000</v>
      </c>
      <c r="M38" s="235" t="n">
        <f aca="false">B38*E$2</f>
        <v>9090.90909090911</v>
      </c>
      <c r="N38" s="236" t="n">
        <f aca="false">M38*C$3</f>
        <v>1545.45454545455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1227272.72727273</v>
      </c>
      <c r="C39" s="234" t="n">
        <f aca="false">+IF(M39&gt;=0,M39,0)</f>
        <v>8181.8181818182</v>
      </c>
      <c r="D39" s="234" t="n">
        <f aca="false">+IF(N39&gt;=0,N39,0)</f>
        <v>1390.90909090909</v>
      </c>
      <c r="E39" s="234" t="n">
        <f aca="false">+C39+D39</f>
        <v>9572.72727272729</v>
      </c>
      <c r="F39" s="234" t="n">
        <f aca="false">+IF(C39&gt;1,J39,0)</f>
        <v>136363.636363636</v>
      </c>
      <c r="G39" s="234" t="n">
        <f aca="false">+IF(E39&gt;1,L39,0)</f>
        <v>145936.363636364</v>
      </c>
      <c r="H39" s="234" t="n">
        <f aca="false">IF(F39&lt;=0,0,$L$50)</f>
        <v>157636.363636364</v>
      </c>
      <c r="I39" s="169"/>
      <c r="J39" s="207" t="n">
        <f aca="false">+G39-E39</f>
        <v>136363.636363636</v>
      </c>
      <c r="L39" s="235" t="n">
        <f aca="false">IF($C$6&gt;=28,E39,($C$1/$C$8)+E39)</f>
        <v>145936.363636364</v>
      </c>
      <c r="M39" s="235" t="n">
        <f aca="false">B39*E$2</f>
        <v>8181.8181818182</v>
      </c>
      <c r="N39" s="236" t="n">
        <f aca="false">M39*C$3</f>
        <v>1390.90909090909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1090909.09090909</v>
      </c>
      <c r="C40" s="234" t="n">
        <f aca="false">+IF(M40&gt;=0,M40,0)</f>
        <v>7272.72727272729</v>
      </c>
      <c r="D40" s="234" t="n">
        <f aca="false">+IF(N40&gt;=0,N40,0)</f>
        <v>1236.36363636364</v>
      </c>
      <c r="E40" s="234" t="n">
        <f aca="false">+C40+D40</f>
        <v>8509.09090909093</v>
      </c>
      <c r="F40" s="234" t="n">
        <f aca="false">+IF(C40&gt;1,J40,0)</f>
        <v>136363.636363636</v>
      </c>
      <c r="G40" s="234" t="n">
        <f aca="false">+IF(E40&gt;1,L40,0)</f>
        <v>144872.727272727</v>
      </c>
      <c r="H40" s="234" t="n">
        <f aca="false">IF(F40&lt;=0,0,$L$50)</f>
        <v>157636.363636364</v>
      </c>
      <c r="I40" s="169"/>
      <c r="J40" s="207" t="n">
        <f aca="false">+G40-E40</f>
        <v>136363.636363636</v>
      </c>
      <c r="L40" s="235" t="n">
        <f aca="false">IF($C$6&gt;=29,E40,($C$1/$C$8)+E40)</f>
        <v>144872.727272727</v>
      </c>
      <c r="M40" s="235" t="n">
        <f aca="false">B40*E$2</f>
        <v>7272.72727272729</v>
      </c>
      <c r="N40" s="236" t="n">
        <f aca="false">M40*C$3</f>
        <v>1236.36363636364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954545.454545457</v>
      </c>
      <c r="C41" s="234" t="n">
        <f aca="false">+IF(M41&gt;=0,M41,0)</f>
        <v>6363.63636363638</v>
      </c>
      <c r="D41" s="234" t="n">
        <f aca="false">+IF(N41&gt;=0,N41,0)</f>
        <v>1081.81818181818</v>
      </c>
      <c r="E41" s="234" t="n">
        <f aca="false">+C41+D41</f>
        <v>7445.45454545456</v>
      </c>
      <c r="F41" s="234" t="n">
        <f aca="false">+IF(C41&gt;1,J41,0)</f>
        <v>136363.636363636</v>
      </c>
      <c r="G41" s="234" t="n">
        <f aca="false">+IF(E41&gt;1,L41,0)</f>
        <v>143809.090909091</v>
      </c>
      <c r="H41" s="234" t="n">
        <f aca="false">IF(F41&lt;=0,0,$L$50)</f>
        <v>157636.363636364</v>
      </c>
      <c r="I41" s="169"/>
      <c r="J41" s="207" t="n">
        <f aca="false">+G41-E41</f>
        <v>136363.636363636</v>
      </c>
      <c r="L41" s="235" t="n">
        <f aca="false">IF($C$6&gt;=30,E41,($C$1/$C$8)+E41)</f>
        <v>143809.090909091</v>
      </c>
      <c r="M41" s="235" t="n">
        <f aca="false">B41*E$2</f>
        <v>6363.63636363638</v>
      </c>
      <c r="N41" s="236" t="n">
        <f aca="false">M41*C$3</f>
        <v>1081.81818181818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818181.81818182</v>
      </c>
      <c r="C42" s="234" t="n">
        <f aca="false">+IF(M42&gt;=0,M42,0)</f>
        <v>5454.54545454547</v>
      </c>
      <c r="D42" s="234" t="n">
        <f aca="false">+IF(N42&gt;=0,N42,0)</f>
        <v>927.27272727273</v>
      </c>
      <c r="E42" s="234" t="n">
        <f aca="false">+C42+D42</f>
        <v>6381.8181818182</v>
      </c>
      <c r="F42" s="234" t="n">
        <f aca="false">+IF(C42&gt;1,J42,0)</f>
        <v>136363.636363636</v>
      </c>
      <c r="G42" s="234" t="n">
        <f aca="false">+IF(E42&gt;1,L42,0)</f>
        <v>142745.454545455</v>
      </c>
      <c r="H42" s="234" t="n">
        <f aca="false">IF(F42&lt;=0,0,$L$50)</f>
        <v>157636.363636364</v>
      </c>
      <c r="I42" s="169"/>
      <c r="J42" s="207" t="n">
        <f aca="false">+G42-E42</f>
        <v>136363.636363636</v>
      </c>
      <c r="L42" s="235" t="n">
        <f aca="false">IF($C$6&gt;=31,E42,($C$1/$C$8)+E42)</f>
        <v>142745.454545455</v>
      </c>
      <c r="M42" s="235" t="n">
        <f aca="false">B42*E$2</f>
        <v>5454.54545454547</v>
      </c>
      <c r="N42" s="236" t="n">
        <f aca="false">M42*C$3</f>
        <v>927.27272727273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681818.181818184</v>
      </c>
      <c r="C43" s="234" t="n">
        <f aca="false">+IF(M43&gt;=0,M43,0)</f>
        <v>4545.45454545456</v>
      </c>
      <c r="D43" s="234" t="n">
        <f aca="false">+IF(N43&gt;=0,N43,0)</f>
        <v>772.727272727275</v>
      </c>
      <c r="E43" s="234" t="n">
        <f aca="false">+C43+D43</f>
        <v>5318.18181818184</v>
      </c>
      <c r="F43" s="234" t="n">
        <f aca="false">+IF(C43&gt;1,J43,0)</f>
        <v>136363.636363636</v>
      </c>
      <c r="G43" s="234" t="n">
        <f aca="false">+IF(E43&gt;1,L43,0)</f>
        <v>141681.818181818</v>
      </c>
      <c r="H43" s="234" t="n">
        <f aca="false">IF(F43&lt;=0,0,$L$50)</f>
        <v>157636.363636364</v>
      </c>
      <c r="I43" s="169"/>
      <c r="J43" s="207" t="n">
        <f aca="false">+G43-E43</f>
        <v>136363.636363636</v>
      </c>
      <c r="L43" s="235" t="n">
        <f aca="false">IF($C$6&gt;=32,E43,($C$1/$C$8)+E43)</f>
        <v>141681.818181818</v>
      </c>
      <c r="M43" s="235" t="n">
        <f aca="false">B43*E$2</f>
        <v>4545.45454545456</v>
      </c>
      <c r="N43" s="236" t="n">
        <f aca="false">M43*C$3</f>
        <v>772.727272727275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545454.545454548</v>
      </c>
      <c r="C44" s="234" t="n">
        <f aca="false">+IF(M44&gt;=0,M44,0)</f>
        <v>3636.36363636365</v>
      </c>
      <c r="D44" s="234" t="n">
        <f aca="false">+IF(N44&gt;=0,N44,0)</f>
        <v>618.181818181821</v>
      </c>
      <c r="E44" s="234" t="n">
        <f aca="false">+C44+D44</f>
        <v>4254.54545454547</v>
      </c>
      <c r="F44" s="234" t="n">
        <f aca="false">+IF(C44&gt;1,J44,0)</f>
        <v>136363.636363636</v>
      </c>
      <c r="G44" s="234" t="n">
        <f aca="false">+IF(E44&gt;1,L44,0)</f>
        <v>140618.181818182</v>
      </c>
      <c r="H44" s="234" t="n">
        <f aca="false">IF(F44&lt;=0,0,$L$50)</f>
        <v>157636.363636364</v>
      </c>
      <c r="I44" s="169"/>
      <c r="J44" s="207" t="n">
        <f aca="false">+G44-E44</f>
        <v>136363.636363636</v>
      </c>
      <c r="L44" s="235" t="n">
        <f aca="false">IF($C$6&gt;=33,E44,($C$1/$C$8)+E44)</f>
        <v>140618.181818182</v>
      </c>
      <c r="M44" s="235" t="n">
        <f aca="false">B44*E$2</f>
        <v>3636.36363636365</v>
      </c>
      <c r="N44" s="236" t="n">
        <f aca="false">M44*C$3</f>
        <v>618.181818181821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409090.909090911</v>
      </c>
      <c r="C45" s="234" t="n">
        <f aca="false">+IF(M45&gt;=0,M45,0)</f>
        <v>2727.27272727274</v>
      </c>
      <c r="D45" s="234" t="n">
        <f aca="false">+IF(N45&gt;=0,N45,0)</f>
        <v>463.636363636366</v>
      </c>
      <c r="E45" s="234" t="n">
        <f aca="false">+C45+D45</f>
        <v>3190.90909090911</v>
      </c>
      <c r="F45" s="234" t="n">
        <f aca="false">+IF(C45&gt;1,J45,0)</f>
        <v>136363.636363636</v>
      </c>
      <c r="G45" s="234" t="n">
        <f aca="false">+IF(E45&gt;1,L45,0)</f>
        <v>139554.545454545</v>
      </c>
      <c r="H45" s="234" t="n">
        <f aca="false">IF(F45&lt;=0,0,$L$50)</f>
        <v>157636.363636364</v>
      </c>
      <c r="I45" s="169"/>
      <c r="J45" s="207" t="n">
        <f aca="false">+G45-E45</f>
        <v>136363.636363636</v>
      </c>
      <c r="L45" s="235" t="n">
        <f aca="false">IF($C$6&gt;=34,E45,($C$1/$C$8)+E45)</f>
        <v>139554.545454545</v>
      </c>
      <c r="M45" s="235" t="n">
        <f aca="false">B45*E$2</f>
        <v>2727.27272727274</v>
      </c>
      <c r="N45" s="236" t="n">
        <f aca="false">M45*C$3</f>
        <v>463.636363636366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272727.272727275</v>
      </c>
      <c r="C46" s="234" t="n">
        <f aca="false">+IF(M46&gt;=0,M46,0)</f>
        <v>1818.18181818183</v>
      </c>
      <c r="D46" s="234" t="n">
        <f aca="false">+IF(N46&gt;=0,N46,0)</f>
        <v>309.090909090912</v>
      </c>
      <c r="E46" s="234" t="n">
        <f aca="false">+C46+D46</f>
        <v>2127.27272727275</v>
      </c>
      <c r="F46" s="234" t="n">
        <f aca="false">+IF(C46&gt;1,J46,0)</f>
        <v>136363.636363636</v>
      </c>
      <c r="G46" s="234" t="n">
        <f aca="false">+IF(E46&gt;1,L46,0)</f>
        <v>138490.909090909</v>
      </c>
      <c r="H46" s="234" t="n">
        <f aca="false">IF(F46&lt;=0,0,$L$50)</f>
        <v>157636.363636364</v>
      </c>
      <c r="I46" s="169"/>
      <c r="J46" s="207" t="n">
        <f aca="false">+G46-E46</f>
        <v>136363.636363636</v>
      </c>
      <c r="L46" s="235" t="n">
        <f aca="false">IF($C$6&gt;=35,E46,($C$1/$C$8)+E46)</f>
        <v>138490.909090909</v>
      </c>
      <c r="M46" s="235" t="n">
        <f aca="false">B46*E$2</f>
        <v>1818.18181818183</v>
      </c>
      <c r="N46" s="236" t="n">
        <f aca="false">M46*C$3</f>
        <v>309.090909090912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136363.636363639</v>
      </c>
      <c r="C47" s="238" t="n">
        <f aca="false">+IF(M47&gt;=0,M47,0)</f>
        <v>909.090909090925</v>
      </c>
      <c r="D47" s="238" t="n">
        <f aca="false">+IF(N47&gt;=0,N47,0)</f>
        <v>154.545454545457</v>
      </c>
      <c r="E47" s="238" t="n">
        <f aca="false">+C47+D47</f>
        <v>1063.63636363638</v>
      </c>
      <c r="F47" s="238" t="n">
        <f aca="false">+IF(C47&gt;1,J47,0)</f>
        <v>136363.636363636</v>
      </c>
      <c r="G47" s="238" t="n">
        <f aca="false">+IF(E47&gt;1,L47,0)</f>
        <v>137427.272727273</v>
      </c>
      <c r="H47" s="238" t="n">
        <f aca="false">IF(F47&lt;=0,0,$L$50)</f>
        <v>157636.363636364</v>
      </c>
      <c r="I47" s="169"/>
      <c r="J47" s="207" t="n">
        <f aca="false">+G47-E47</f>
        <v>136363.636363636</v>
      </c>
      <c r="L47" s="239" t="n">
        <f aca="false">IF($C$6&gt;=36,E47,($C$1/$C$8)+E47)</f>
        <v>137427.272727273</v>
      </c>
      <c r="M47" s="239" t="n">
        <f aca="false">B47*E$2</f>
        <v>909.090909090925</v>
      </c>
      <c r="N47" s="239" t="n">
        <f aca="false">M47*C$3</f>
        <v>154.545454545457</v>
      </c>
    </row>
    <row r="48" customFormat="false" ht="15.75" hidden="false" customHeight="true" outlineLevel="0" collapsed="false">
      <c r="A48" s="240" t="s">
        <v>90</v>
      </c>
      <c r="B48" s="241"/>
      <c r="C48" s="241"/>
      <c r="D48" s="240"/>
      <c r="E48" s="240" t="n">
        <f aca="false">SUM(E12:E47)</f>
        <v>702000</v>
      </c>
      <c r="F48" s="240" t="n">
        <f aca="false">SUM(F12:F47)</f>
        <v>4500000</v>
      </c>
      <c r="G48" s="240" t="n">
        <f aca="false">SUM(G12:G47)</f>
        <v>5202000</v>
      </c>
      <c r="H48" s="240" t="n">
        <f aca="false">SUM(H12:H47)</f>
        <v>5202000</v>
      </c>
      <c r="I48" s="169"/>
      <c r="L48" s="242" t="n">
        <f aca="false">SUM(L12:L47)</f>
        <v>5202000</v>
      </c>
      <c r="M48" s="242" t="n">
        <f aca="false">SUM(M12:M47)</f>
        <v>600000</v>
      </c>
      <c r="N48" s="242" t="n">
        <f aca="false">SUM(N12:N47)</f>
        <v>102000</v>
      </c>
    </row>
    <row r="49" customFormat="false" ht="15" hidden="false" customHeight="true" outlineLevel="0" collapsed="false">
      <c r="A49" s="169"/>
      <c r="B49" s="169"/>
      <c r="C49" s="169"/>
      <c r="D49" s="169"/>
      <c r="E49" s="170"/>
      <c r="F49" s="170"/>
      <c r="G49" s="170"/>
      <c r="H49" s="170"/>
      <c r="I49" s="169"/>
      <c r="L49" s="169"/>
      <c r="M49" s="169"/>
      <c r="N49" s="169"/>
    </row>
    <row r="50" customFormat="false" ht="15" hidden="false" customHeight="true" outlineLevel="0" collapsed="false">
      <c r="E50" s="243"/>
      <c r="L50" s="207" t="n">
        <f aca="false">+G48/C8</f>
        <v>157636.363636364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4" width="14.54"/>
    <col collapsed="false" customWidth="true" hidden="false" outlineLevel="0" max="6" min="3" style="244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5"/>
      <c r="C1" s="245"/>
      <c r="D1" s="245"/>
      <c r="E1" s="245"/>
      <c r="F1" s="245"/>
      <c r="G1" s="169"/>
    </row>
    <row r="2" customFormat="false" ht="20.25" hidden="false" customHeight="true" outlineLevel="0" collapsed="false">
      <c r="A2" s="246" t="s">
        <v>229</v>
      </c>
      <c r="B2" s="247"/>
      <c r="C2" s="247"/>
      <c r="D2" s="247"/>
      <c r="E2" s="247"/>
      <c r="F2" s="248"/>
      <c r="G2" s="169"/>
    </row>
    <row r="3" customFormat="false" ht="14.25" hidden="false" customHeight="true" outlineLevel="0" collapsed="false">
      <c r="A3" s="172"/>
      <c r="B3" s="249"/>
      <c r="C3" s="249"/>
      <c r="D3" s="249"/>
      <c r="E3" s="249"/>
      <c r="F3" s="249"/>
      <c r="G3" s="169"/>
    </row>
    <row r="4" s="252" customFormat="true" ht="18" hidden="false" customHeight="true" outlineLevel="0" collapsed="false">
      <c r="A4" s="250" t="s">
        <v>185</v>
      </c>
      <c r="B4" s="77" t="s">
        <v>186</v>
      </c>
      <c r="C4" s="77" t="s">
        <v>187</v>
      </c>
      <c r="D4" s="77" t="s">
        <v>188</v>
      </c>
      <c r="E4" s="77" t="s">
        <v>189</v>
      </c>
      <c r="F4" s="77" t="s">
        <v>190</v>
      </c>
      <c r="G4" s="251"/>
    </row>
    <row r="5" customFormat="false" ht="15.75" hidden="false" customHeight="true" outlineLevel="0" collapsed="false">
      <c r="A5" s="177" t="s">
        <v>183</v>
      </c>
      <c r="B5" s="253"/>
      <c r="C5" s="253"/>
      <c r="D5" s="253"/>
      <c r="E5" s="253"/>
      <c r="F5" s="253"/>
      <c r="G5" s="169"/>
    </row>
    <row r="6" customFormat="false" ht="14.25" hidden="false" customHeight="true" outlineLevel="0" collapsed="false">
      <c r="A6" s="182" t="s">
        <v>191</v>
      </c>
      <c r="B6" s="254" t="n">
        <f aca="false">'Eléments du compte d''exploitati'!B12</f>
        <v>6000000</v>
      </c>
      <c r="C6" s="254" t="n">
        <f aca="false">'Eléments du compte d''exploitati'!C12</f>
        <v>6120000</v>
      </c>
      <c r="D6" s="254" t="n">
        <f aca="false">'Eléments du compte d''exploitati'!D12</f>
        <v>6242400</v>
      </c>
      <c r="E6" s="254" t="n">
        <f aca="false">'Eléments du compte d''exploitati'!E12</f>
        <v>6367248</v>
      </c>
      <c r="F6" s="254" t="n">
        <f aca="false">'Eléments du compte d''exploitati'!F12</f>
        <v>6494592.96</v>
      </c>
      <c r="G6" s="169"/>
    </row>
    <row r="7" customFormat="false" ht="18" hidden="false" customHeight="true" outlineLevel="0" collapsed="false">
      <c r="A7" s="255"/>
      <c r="B7" s="256"/>
      <c r="C7" s="256"/>
      <c r="D7" s="256"/>
      <c r="E7" s="256"/>
      <c r="F7" s="256"/>
      <c r="G7" s="169"/>
    </row>
    <row r="8" customFormat="false" ht="15.75" hidden="false" customHeight="true" outlineLevel="0" collapsed="false">
      <c r="A8" s="177" t="s">
        <v>192</v>
      </c>
      <c r="B8" s="253"/>
      <c r="C8" s="253"/>
      <c r="D8" s="253"/>
      <c r="E8" s="253"/>
      <c r="F8" s="253"/>
      <c r="G8" s="169"/>
    </row>
    <row r="9" customFormat="false" ht="14.25" hidden="false" customHeight="true" outlineLevel="0" collapsed="false">
      <c r="A9" s="196" t="s">
        <v>230</v>
      </c>
      <c r="B9" s="257" t="n">
        <f aca="false">+'Eléments du compte d''exploitati'!B24</f>
        <v>1180000</v>
      </c>
      <c r="C9" s="257" t="n">
        <f aca="false">+'Eléments du compte d''exploitati'!C24</f>
        <v>1250800</v>
      </c>
      <c r="D9" s="257" t="n">
        <f aca="false">+'Eléments du compte d''exploitati'!D24</f>
        <v>1350864</v>
      </c>
      <c r="E9" s="257" t="n">
        <f aca="false">+'Eléments du compte d''exploitati'!E24</f>
        <v>1458933.12</v>
      </c>
      <c r="F9" s="257" t="n">
        <f aca="false">+'Eléments du compte d''exploitati'!F24</f>
        <v>1575647.7696</v>
      </c>
      <c r="G9" s="169"/>
    </row>
    <row r="10" customFormat="false" ht="14.25" hidden="false" customHeight="true" outlineLevel="0" collapsed="false">
      <c r="A10" s="196" t="s">
        <v>231</v>
      </c>
      <c r="B10" s="257" t="n">
        <f aca="false">+'Eléments du compte d''exploitati'!B30</f>
        <v>2100000</v>
      </c>
      <c r="C10" s="257" t="n">
        <f aca="false">+'Eléments du compte d''exploitati'!C30</f>
        <v>2205000</v>
      </c>
      <c r="D10" s="257" t="n">
        <f aca="false">+'Eléments du compte d''exploitati'!D30</f>
        <v>2205000</v>
      </c>
      <c r="E10" s="257" t="n">
        <f aca="false">+'Eléments du compte d''exploitati'!E30</f>
        <v>2205000</v>
      </c>
      <c r="F10" s="257" t="n">
        <f aca="false">+'Eléments du compte d''exploitati'!F30</f>
        <v>2205000</v>
      </c>
      <c r="G10" s="169"/>
    </row>
    <row r="11" customFormat="false" ht="28.5" hidden="false" customHeight="true" outlineLevel="0" collapsed="false">
      <c r="A11" s="258" t="s">
        <v>232</v>
      </c>
      <c r="B11" s="257" t="n">
        <f aca="false">+'Eléments du compte d''exploitati'!B49</f>
        <v>250000</v>
      </c>
      <c r="C11" s="257" t="n">
        <f aca="false">+'Eléments du compte d''exploitati'!C49</f>
        <v>262500</v>
      </c>
      <c r="D11" s="257" t="n">
        <f aca="false">+'Eléments du compte d''exploitati'!D49</f>
        <v>262500</v>
      </c>
      <c r="E11" s="257" t="n">
        <f aca="false">+'Eléments du compte d''exploitati'!E49</f>
        <v>262500</v>
      </c>
      <c r="F11" s="257" t="n">
        <f aca="false">+'Eléments du compte d''exploitati'!F49</f>
        <v>262500</v>
      </c>
      <c r="G11" s="169"/>
    </row>
    <row r="12" customFormat="false" ht="14.25" hidden="false" customHeight="true" outlineLevel="0" collapsed="false">
      <c r="A12" s="196" t="s">
        <v>233</v>
      </c>
      <c r="B12" s="257" t="n">
        <f aca="false">+'Eléments du compte d''exploitati'!B62</f>
        <v>0</v>
      </c>
      <c r="C12" s="257" t="n">
        <f aca="false">+'Eléments du compte d''exploitati'!C62</f>
        <v>0</v>
      </c>
      <c r="D12" s="257" t="n">
        <f aca="false">+'Eléments du compte d''exploitati'!D62</f>
        <v>0</v>
      </c>
      <c r="E12" s="257" t="n">
        <f aca="false">+'Eléments du compte d''exploitati'!E62</f>
        <v>0</v>
      </c>
      <c r="F12" s="257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234</v>
      </c>
      <c r="B13" s="257" t="n">
        <f aca="false">+SUM('Echéancier Prêt'!E12:E23)</f>
        <v>382909.090909091</v>
      </c>
      <c r="C13" s="257" t="n">
        <f aca="false">+SUM('Echéancier Prêt'!E24:E35)</f>
        <v>236127.272727273</v>
      </c>
      <c r="D13" s="257" t="n">
        <f aca="false">+SUM('Echéancier Prêt'!E36:E47)</f>
        <v>82963.6363636366</v>
      </c>
      <c r="E13" s="257" t="n">
        <v>0</v>
      </c>
      <c r="F13" s="257" t="n">
        <v>0</v>
      </c>
      <c r="G13" s="169"/>
    </row>
    <row r="14" customFormat="false" ht="14.25" hidden="false" customHeight="true" outlineLevel="0" collapsed="false">
      <c r="A14" s="196" t="s">
        <v>235</v>
      </c>
      <c r="B14" s="259" t="n">
        <f aca="false">'Eléments du compte d''exploitati'!D92</f>
        <v>914916.666666667</v>
      </c>
      <c r="C14" s="259" t="n">
        <f aca="false">'Eléments du compte d''exploitati'!E92</f>
        <v>899916.666666667</v>
      </c>
      <c r="D14" s="259" t="n">
        <f aca="false">'Eléments du compte d''exploitati'!F92</f>
        <v>899916.666666667</v>
      </c>
      <c r="E14" s="259" t="n">
        <f aca="false">'Eléments du compte d''exploitati'!G92</f>
        <v>873250</v>
      </c>
      <c r="F14" s="259" t="n">
        <f aca="false">'Eléments du compte d''exploitati'!H92</f>
        <v>97000</v>
      </c>
      <c r="G14" s="169"/>
    </row>
    <row r="15" customFormat="false" ht="14.25" hidden="false" customHeight="true" outlineLevel="0" collapsed="false">
      <c r="A15" s="182" t="s">
        <v>236</v>
      </c>
      <c r="B15" s="254" t="n">
        <f aca="false">SUM(B9:B14)</f>
        <v>4827825.75757576</v>
      </c>
      <c r="C15" s="254" t="n">
        <f aca="false">SUM(C9:C14)</f>
        <v>4854343.93939394</v>
      </c>
      <c r="D15" s="254" t="n">
        <f aca="false">SUM(D9:D14)</f>
        <v>4801244.3030303</v>
      </c>
      <c r="E15" s="254" t="n">
        <f aca="false">SUM(E9:E14)</f>
        <v>4799683.12</v>
      </c>
      <c r="F15" s="254" t="n">
        <f aca="false">SUM(F9:F14)</f>
        <v>4140147.7696</v>
      </c>
      <c r="G15" s="169"/>
    </row>
    <row r="16" customFormat="false" ht="14.25" hidden="false" customHeight="true" outlineLevel="0" collapsed="false">
      <c r="A16" s="196"/>
      <c r="B16" s="260"/>
      <c r="C16" s="260"/>
      <c r="D16" s="260"/>
      <c r="E16" s="260"/>
      <c r="F16" s="260"/>
      <c r="G16" s="169"/>
      <c r="I16" s="167" t="s">
        <v>237</v>
      </c>
    </row>
    <row r="17" customFormat="false" ht="14.25" hidden="false" customHeight="true" outlineLevel="0" collapsed="false">
      <c r="A17" s="182" t="s">
        <v>238</v>
      </c>
      <c r="B17" s="254" t="n">
        <f aca="false">B6-B15</f>
        <v>1172174.24242424</v>
      </c>
      <c r="C17" s="254" t="n">
        <f aca="false">C6-C15</f>
        <v>1265656.06060606</v>
      </c>
      <c r="D17" s="254" t="n">
        <f aca="false">D6-D15</f>
        <v>1441155.6969697</v>
      </c>
      <c r="E17" s="254" t="n">
        <f aca="false">E6-E15</f>
        <v>1567564.88</v>
      </c>
      <c r="F17" s="254" t="n">
        <f aca="false">F6-F15</f>
        <v>2354445.1904</v>
      </c>
      <c r="G17" s="169"/>
    </row>
    <row r="18" customFormat="false" ht="14.25" hidden="false" customHeight="true" outlineLevel="0" collapsed="false">
      <c r="A18" s="196" t="s">
        <v>239</v>
      </c>
      <c r="B18" s="260" t="n">
        <f aca="false">30%*B17*0</f>
        <v>0</v>
      </c>
      <c r="C18" s="260" t="n">
        <f aca="false">30%*C17*0</f>
        <v>0</v>
      </c>
      <c r="D18" s="260" t="n">
        <f aca="false">30%*D17*0</f>
        <v>0</v>
      </c>
      <c r="E18" s="260" t="n">
        <f aca="false">30%*E17*0</f>
        <v>0</v>
      </c>
      <c r="F18" s="260" t="n">
        <f aca="false">30%*F17*0</f>
        <v>0</v>
      </c>
      <c r="G18" s="169"/>
    </row>
    <row r="19" customFormat="false" ht="14.25" hidden="false" customHeight="true" outlineLevel="0" collapsed="false">
      <c r="A19" s="196" t="s">
        <v>240</v>
      </c>
      <c r="B19" s="257" t="n">
        <f aca="false">+'Eléments du compte d''exploitati'!B38</f>
        <v>189000</v>
      </c>
      <c r="C19" s="257" t="n">
        <f aca="false">+'Eléments du compte d''exploitati'!C38</f>
        <v>198450</v>
      </c>
      <c r="D19" s="257" t="n">
        <f aca="false">+'Eléments du compte d''exploitati'!D38</f>
        <v>198450</v>
      </c>
      <c r="E19" s="257" t="n">
        <f aca="false">+'Eléments du compte d''exploitati'!E38</f>
        <v>198450</v>
      </c>
      <c r="F19" s="257" t="n">
        <f aca="false">+'Eléments du compte d''exploitati'!F38</f>
        <v>198450</v>
      </c>
      <c r="G19" s="169"/>
    </row>
    <row r="20" customFormat="false" ht="14.25" hidden="false" customHeight="true" outlineLevel="0" collapsed="false">
      <c r="A20" s="182" t="s">
        <v>241</v>
      </c>
      <c r="B20" s="254" t="n">
        <f aca="false">+B17-B18-B19</f>
        <v>983174.242424242</v>
      </c>
      <c r="C20" s="254" t="n">
        <f aca="false">+C17-C18-C19</f>
        <v>1067206.06060606</v>
      </c>
      <c r="D20" s="254" t="n">
        <f aca="false">+D17-D18-D19</f>
        <v>1242705.6969697</v>
      </c>
      <c r="E20" s="254" t="n">
        <f aca="false">+E17-E18-E19</f>
        <v>1369114.88</v>
      </c>
      <c r="F20" s="254" t="n">
        <f aca="false">+F17-F18-F19</f>
        <v>2155995.1904</v>
      </c>
      <c r="G20" s="169"/>
    </row>
    <row r="21" customFormat="false" ht="14.25" hidden="false" customHeight="true" outlineLevel="0" collapsed="false">
      <c r="A21" s="196"/>
      <c r="B21" s="260"/>
      <c r="C21" s="260"/>
      <c r="D21" s="260"/>
      <c r="E21" s="260"/>
      <c r="F21" s="260"/>
      <c r="G21" s="169"/>
      <c r="I21" s="167" t="n">
        <v>0</v>
      </c>
    </row>
    <row r="22" customFormat="false" ht="14.25" hidden="false" customHeight="true" outlineLevel="0" collapsed="false">
      <c r="A22" s="182" t="s">
        <v>242</v>
      </c>
      <c r="B22" s="254" t="n">
        <f aca="false">B20+B14</f>
        <v>1898090.90909091</v>
      </c>
      <c r="C22" s="254" t="n">
        <f aca="false">C20+C14</f>
        <v>1967122.72727273</v>
      </c>
      <c r="D22" s="254" t="n">
        <f aca="false">D20+D14</f>
        <v>2142622.36363636</v>
      </c>
      <c r="E22" s="254" t="n">
        <f aca="false">E20+E14</f>
        <v>2242364.88</v>
      </c>
      <c r="F22" s="254" t="n">
        <f aca="false">F20+F14</f>
        <v>2252995.1904</v>
      </c>
      <c r="G22" s="169"/>
    </row>
    <row r="23" customFormat="false" ht="18" hidden="false" customHeight="true" outlineLevel="0" collapsed="false">
      <c r="A23" s="261" t="s">
        <v>243</v>
      </c>
      <c r="B23" s="262" t="n">
        <f aca="false">+B22</f>
        <v>1898090.90909091</v>
      </c>
      <c r="C23" s="262" t="n">
        <f aca="false">C22+B23</f>
        <v>3865213.63636364</v>
      </c>
      <c r="D23" s="262" t="n">
        <f aca="false">D22+C23</f>
        <v>6007836</v>
      </c>
      <c r="E23" s="262" t="n">
        <f aca="false">E22+D23</f>
        <v>8250200.88</v>
      </c>
      <c r="F23" s="262" t="n">
        <f aca="false">F22+E23</f>
        <v>10503196.0704</v>
      </c>
      <c r="G23" s="169"/>
    </row>
    <row r="24" customFormat="false" ht="18" hidden="false" customHeight="true" outlineLevel="0" collapsed="false">
      <c r="A24" s="169"/>
      <c r="B24" s="263"/>
      <c r="C24" s="263"/>
      <c r="D24" s="263"/>
      <c r="E24" s="263"/>
      <c r="F24" s="263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244</v>
      </c>
      <c r="B2" s="264"/>
      <c r="C2" s="264"/>
      <c r="D2" s="264"/>
      <c r="E2" s="264"/>
      <c r="F2" s="265"/>
      <c r="G2" s="70"/>
      <c r="H2" s="68"/>
    </row>
    <row r="3" customFormat="false" ht="18.75" hidden="false" customHeight="true" outlineLevel="0" collapsed="false">
      <c r="A3" s="266"/>
      <c r="B3" s="266"/>
      <c r="H3" s="68"/>
    </row>
    <row r="4" customFormat="false" ht="18" hidden="false" customHeight="true" outlineLevel="0" collapsed="false">
      <c r="A4" s="250" t="s">
        <v>185</v>
      </c>
      <c r="B4" s="267" t="s">
        <v>245</v>
      </c>
      <c r="C4" s="267" t="s">
        <v>186</v>
      </c>
      <c r="D4" s="267" t="s">
        <v>187</v>
      </c>
      <c r="E4" s="267" t="s">
        <v>188</v>
      </c>
      <c r="F4" s="267" t="s">
        <v>189</v>
      </c>
      <c r="G4" s="267" t="s">
        <v>190</v>
      </c>
      <c r="H4" s="68"/>
    </row>
    <row r="5" customFormat="false" ht="15.75" hidden="false" customHeight="true" outlineLevel="0" collapsed="false">
      <c r="A5" s="82" t="s">
        <v>246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8" t="s">
        <v>247</v>
      </c>
      <c r="B6" s="269" t="n">
        <f aca="false">'Plan Financement'!C7</f>
        <v>500000</v>
      </c>
      <c r="C6" s="269"/>
      <c r="D6" s="269"/>
      <c r="E6" s="269"/>
      <c r="F6" s="269"/>
      <c r="G6" s="269"/>
      <c r="H6" s="68"/>
    </row>
    <row r="7" customFormat="false" ht="15" hidden="false" customHeight="true" outlineLevel="0" collapsed="false">
      <c r="A7" s="268" t="s">
        <v>248</v>
      </c>
      <c r="B7" s="269" t="n">
        <f aca="false">'Plan Financement'!C14</f>
        <v>4500000</v>
      </c>
      <c r="C7" s="269"/>
      <c r="D7" s="269"/>
      <c r="E7" s="269"/>
      <c r="F7" s="269"/>
      <c r="G7" s="269"/>
      <c r="H7" s="68"/>
    </row>
    <row r="8" customFormat="false" ht="15" hidden="false" customHeight="true" outlineLevel="0" collapsed="false">
      <c r="A8" s="268" t="s">
        <v>249</v>
      </c>
      <c r="B8" s="269" t="n">
        <f aca="false">SUM('Plan Financement'!C11:C12)</f>
        <v>0</v>
      </c>
      <c r="C8" s="269"/>
      <c r="D8" s="269"/>
      <c r="E8" s="269"/>
      <c r="F8" s="269"/>
      <c r="G8" s="269"/>
      <c r="H8" s="68"/>
    </row>
    <row r="9" customFormat="false" ht="15" hidden="false" customHeight="true" outlineLevel="0" collapsed="false">
      <c r="A9" s="268" t="s">
        <v>250</v>
      </c>
      <c r="B9" s="269" t="n">
        <f aca="false">'Plan Financement'!C13</f>
        <v>0</v>
      </c>
      <c r="C9" s="269"/>
      <c r="D9" s="269"/>
      <c r="E9" s="269"/>
      <c r="F9" s="269"/>
      <c r="G9" s="269"/>
      <c r="H9" s="68"/>
    </row>
    <row r="10" customFormat="false" ht="15" hidden="false" customHeight="true" outlineLevel="0" collapsed="false">
      <c r="A10" s="268" t="s">
        <v>251</v>
      </c>
      <c r="B10" s="269"/>
      <c r="C10" s="269" t="n">
        <f aca="false">'Compte d''exploitation'!B14</f>
        <v>914916.666666667</v>
      </c>
      <c r="D10" s="269" t="n">
        <f aca="false">'Compte d''exploitation'!C14</f>
        <v>899916.666666667</v>
      </c>
      <c r="E10" s="269" t="n">
        <f aca="false">'Compte d''exploitation'!D14</f>
        <v>899916.666666667</v>
      </c>
      <c r="F10" s="269" t="n">
        <f aca="false">'Compte d''exploitation'!E14</f>
        <v>873250</v>
      </c>
      <c r="G10" s="269" t="n">
        <f aca="false">'Compte d''exploitation'!F14</f>
        <v>97000</v>
      </c>
      <c r="H10" s="68"/>
    </row>
    <row r="11" customFormat="false" ht="15" hidden="false" customHeight="true" outlineLevel="0" collapsed="false">
      <c r="A11" s="268" t="s">
        <v>241</v>
      </c>
      <c r="B11" s="269"/>
      <c r="C11" s="269" t="n">
        <f aca="false">+'Compte d''exploitation'!B20</f>
        <v>983174.242424242</v>
      </c>
      <c r="D11" s="269" t="n">
        <f aca="false">+'Compte d''exploitation'!C20</f>
        <v>1067206.06060606</v>
      </c>
      <c r="E11" s="269" t="n">
        <f aca="false">+'Compte d''exploitation'!D20</f>
        <v>1242705.6969697</v>
      </c>
      <c r="F11" s="269" t="n">
        <f aca="false">+'Compte d''exploitation'!E20</f>
        <v>1369114.88</v>
      </c>
      <c r="G11" s="269" t="n">
        <f aca="false">+'Compte d''exploitation'!F20</f>
        <v>2155995.1904</v>
      </c>
      <c r="H11" s="68"/>
    </row>
    <row r="12" customFormat="false" ht="15" hidden="false" customHeight="true" outlineLevel="0" collapsed="false">
      <c r="A12" s="158" t="s">
        <v>252</v>
      </c>
      <c r="B12" s="270" t="n">
        <f aca="false">SUM(B6:B11)</f>
        <v>5000000</v>
      </c>
      <c r="C12" s="270" t="n">
        <f aca="false">SUM(C6:C11)</f>
        <v>1898090.90909091</v>
      </c>
      <c r="D12" s="270" t="n">
        <f aca="false">SUM(D6:D11)</f>
        <v>1967122.72727273</v>
      </c>
      <c r="E12" s="270" t="n">
        <f aca="false">SUM(E6:E11)</f>
        <v>2142622.36363636</v>
      </c>
      <c r="F12" s="270" t="n">
        <f aca="false">SUM(F6:F11)</f>
        <v>2242364.88</v>
      </c>
      <c r="G12" s="270" t="n">
        <f aca="false">SUM(G6:G11)</f>
        <v>2252995.1904</v>
      </c>
      <c r="H12" s="68"/>
    </row>
    <row r="13" customFormat="false" ht="15.75" hidden="false" customHeight="true" outlineLevel="0" collapsed="false">
      <c r="A13" s="82" t="s">
        <v>253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8" t="s">
        <v>254</v>
      </c>
      <c r="B14" s="269" t="n">
        <f aca="false">+'Coût du projet'!C4</f>
        <v>15000</v>
      </c>
      <c r="C14" s="269"/>
      <c r="D14" s="269"/>
      <c r="E14" s="269"/>
      <c r="F14" s="269"/>
      <c r="G14" s="269"/>
      <c r="H14" s="68"/>
    </row>
    <row r="15" customFormat="false" ht="15" hidden="false" customHeight="true" outlineLevel="0" collapsed="false">
      <c r="A15" s="268" t="s">
        <v>255</v>
      </c>
      <c r="B15" s="269" t="n">
        <f aca="false">+'Coût du projet'!C11</f>
        <v>3670000</v>
      </c>
      <c r="C15" s="269"/>
      <c r="D15" s="269"/>
      <c r="E15" s="269"/>
      <c r="F15" s="269"/>
      <c r="G15" s="269"/>
      <c r="H15" s="68"/>
    </row>
    <row r="16" customFormat="false" ht="15" hidden="false" customHeight="true" outlineLevel="0" collapsed="false">
      <c r="A16" s="268" t="s">
        <v>256</v>
      </c>
      <c r="B16" s="269" t="n">
        <f aca="false">+'Coût du projet'!C40</f>
        <v>1315000</v>
      </c>
      <c r="C16" s="269"/>
      <c r="D16" s="269"/>
      <c r="E16" s="269"/>
      <c r="F16" s="269"/>
      <c r="G16" s="269"/>
      <c r="H16" s="68"/>
    </row>
    <row r="17" customFormat="false" ht="15" hidden="false" customHeight="true" outlineLevel="0" collapsed="false">
      <c r="A17" s="268" t="s">
        <v>257</v>
      </c>
      <c r="B17" s="269"/>
      <c r="C17" s="269" t="n">
        <f aca="false">+SUM('Echéancier Prêt'!F12:F23)</f>
        <v>1227272.72727273</v>
      </c>
      <c r="D17" s="269" t="n">
        <f aca="false">+SUM('Echéancier Prêt'!F24:F35)</f>
        <v>1636363.63636364</v>
      </c>
      <c r="E17" s="269" t="n">
        <f aca="false">+SUM('Echéancier Prêt'!F36:F47)</f>
        <v>1636363.63636364</v>
      </c>
      <c r="F17" s="269" t="n">
        <v>0</v>
      </c>
      <c r="G17" s="269" t="n">
        <v>0</v>
      </c>
      <c r="H17" s="68"/>
    </row>
    <row r="18" customFormat="false" ht="15" hidden="false" customHeight="true" outlineLevel="0" collapsed="false">
      <c r="A18" s="158" t="s">
        <v>258</v>
      </c>
      <c r="B18" s="270" t="n">
        <f aca="false">SUM(B14:B17)</f>
        <v>5000000</v>
      </c>
      <c r="C18" s="270" t="n">
        <f aca="false">SUM(C14:C17)</f>
        <v>1227272.72727273</v>
      </c>
      <c r="D18" s="270" t="n">
        <f aca="false">SUM(D14:D17)</f>
        <v>1636363.63636364</v>
      </c>
      <c r="E18" s="270" t="n">
        <f aca="false">SUM(E14:E17)</f>
        <v>1636363.63636364</v>
      </c>
      <c r="F18" s="270" t="n">
        <f aca="false">SUM(F14:F17)</f>
        <v>0</v>
      </c>
      <c r="G18" s="270" t="n">
        <f aca="false">SUM(G14:G17)</f>
        <v>0</v>
      </c>
      <c r="H18" s="68"/>
    </row>
    <row r="19" customFormat="false" ht="15" hidden="false" customHeight="true" outlineLevel="0" collapsed="false">
      <c r="B19" s="271"/>
      <c r="C19" s="271"/>
      <c r="D19" s="271"/>
      <c r="E19" s="271"/>
      <c r="F19" s="271"/>
      <c r="G19" s="271"/>
      <c r="H19" s="68"/>
    </row>
    <row r="20" customFormat="false" ht="15.75" hidden="false" customHeight="true" outlineLevel="0" collapsed="false">
      <c r="A20" s="272" t="s">
        <v>259</v>
      </c>
      <c r="B20" s="272" t="n">
        <f aca="false">+B12-B18</f>
        <v>0</v>
      </c>
      <c r="C20" s="272" t="n">
        <f aca="false">+C12-C18</f>
        <v>670818.181818182</v>
      </c>
      <c r="D20" s="272" t="n">
        <f aca="false">+D12-D18</f>
        <v>330759.090909091</v>
      </c>
      <c r="E20" s="272" t="n">
        <f aca="false">+E12-E18</f>
        <v>506258.727272727</v>
      </c>
      <c r="F20" s="272" t="n">
        <f aca="false">+F12-F18</f>
        <v>2242364.88</v>
      </c>
      <c r="G20" s="272" t="n">
        <f aca="false">+G12-G18</f>
        <v>2252995.1904</v>
      </c>
      <c r="H20" s="68"/>
    </row>
    <row r="21" customFormat="false" ht="15.75" hidden="false" customHeight="true" outlineLevel="0" collapsed="false">
      <c r="A21" s="272" t="s">
        <v>260</v>
      </c>
      <c r="B21" s="272" t="n">
        <f aca="false">+B20</f>
        <v>0</v>
      </c>
      <c r="C21" s="272" t="n">
        <f aca="false">B21+C20</f>
        <v>670818.181818182</v>
      </c>
      <c r="D21" s="272" t="n">
        <f aca="false">C21+D20</f>
        <v>1001577.27272727</v>
      </c>
      <c r="E21" s="272" t="n">
        <f aca="false">D21+E20</f>
        <v>1507836</v>
      </c>
      <c r="F21" s="272" t="n">
        <f aca="false">E21+F20</f>
        <v>3750200.88</v>
      </c>
      <c r="G21" s="272" t="n">
        <f aca="false">F21+G20</f>
        <v>6003196.0704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3" t="s">
        <v>261</v>
      </c>
      <c r="B23" s="273"/>
      <c r="C23" s="273"/>
      <c r="D23" s="273"/>
      <c r="E23" s="273"/>
      <c r="F23" s="273"/>
      <c r="G23" s="273"/>
      <c r="H23" s="68"/>
    </row>
    <row r="24" customFormat="false" ht="15" hidden="false" customHeight="true" outlineLevel="0" collapsed="false">
      <c r="A24" s="274" t="n">
        <f aca="false">+'Plan Financement'!B20</f>
        <v>0.08</v>
      </c>
      <c r="B24" s="275"/>
      <c r="C24" s="275"/>
      <c r="D24" s="275"/>
      <c r="E24" s="275"/>
      <c r="F24" s="275"/>
      <c r="G24" s="275"/>
      <c r="H24" s="68"/>
    </row>
    <row r="25" customFormat="false" ht="15" hidden="false" customHeight="true" outlineLevel="0" collapsed="false">
      <c r="A25" s="276" t="n">
        <f aca="false">-B18</f>
        <v>-5000000</v>
      </c>
      <c r="B25" s="276" t="n">
        <f aca="false">+'Compte d''exploitation'!B22</f>
        <v>1898090.90909091</v>
      </c>
      <c r="C25" s="276" t="n">
        <f aca="false">+'Compte d''exploitation'!C22</f>
        <v>1967122.72727273</v>
      </c>
      <c r="D25" s="276" t="n">
        <f aca="false">+'Compte d''exploitation'!D22</f>
        <v>2142622.36363636</v>
      </c>
      <c r="E25" s="276" t="n">
        <f aca="false">+'Compte d''exploitation'!E22</f>
        <v>2242364.88</v>
      </c>
      <c r="F25" s="276" t="n">
        <f aca="false">+'Compte d''exploitation'!F22</f>
        <v>2252995.1904</v>
      </c>
      <c r="G25" s="275"/>
      <c r="H25" s="68"/>
      <c r="J25" s="66" t="n">
        <f aca="false">B18/(F25*A24)</f>
        <v>27.7408492775804</v>
      </c>
    </row>
    <row r="26" customFormat="false" ht="15" hidden="false" customHeight="true" outlineLevel="0" collapsed="false">
      <c r="A26" s="277"/>
      <c r="B26" s="277"/>
      <c r="C26" s="277"/>
      <c r="D26" s="277"/>
      <c r="E26" s="277"/>
      <c r="F26" s="277"/>
      <c r="G26" s="275"/>
      <c r="H26" s="68"/>
    </row>
    <row r="27" customFormat="false" ht="15" hidden="false" customHeight="true" outlineLevel="0" collapsed="false">
      <c r="A27" s="277"/>
      <c r="B27" s="277"/>
      <c r="C27" s="278" t="s">
        <v>262</v>
      </c>
      <c r="D27" s="279" t="n">
        <f aca="false">IRR(A25:F25)</f>
        <v>0.29911451540849</v>
      </c>
      <c r="E27" s="277" t="s">
        <v>263</v>
      </c>
      <c r="F27" s="277"/>
      <c r="G27" s="275"/>
      <c r="H27" s="68"/>
    </row>
    <row r="28" customFormat="false" ht="15" hidden="false" customHeight="true" outlineLevel="0" collapsed="false">
      <c r="A28" s="277"/>
      <c r="B28" s="277"/>
      <c r="C28" s="277"/>
      <c r="D28" s="277"/>
      <c r="E28" s="277"/>
      <c r="F28" s="277"/>
      <c r="G28" s="275"/>
      <c r="H28" s="68"/>
    </row>
    <row r="29" customFormat="false" ht="15" hidden="false" customHeight="true" outlineLevel="0" collapsed="false">
      <c r="A29" s="277"/>
      <c r="B29" s="277"/>
      <c r="C29" s="278" t="s">
        <v>264</v>
      </c>
      <c r="D29" s="280" t="n">
        <f aca="false">A25+NPV(A24,B25:F25)</f>
        <v>3326420.77071223</v>
      </c>
      <c r="E29" s="281" t="s">
        <v>263</v>
      </c>
      <c r="F29" s="277"/>
      <c r="G29" s="275"/>
      <c r="H29" s="68"/>
    </row>
    <row r="30" customFormat="false" ht="15" hidden="false" customHeight="true" outlineLevel="0" collapsed="false">
      <c r="A30" s="275"/>
      <c r="B30" s="275"/>
      <c r="C30" s="275"/>
      <c r="D30" s="275"/>
      <c r="E30" s="275"/>
      <c r="F30" s="275"/>
      <c r="G30" s="275"/>
      <c r="H30" s="68"/>
    </row>
    <row r="31" customFormat="false" ht="15.75" hidden="false" customHeight="true" outlineLevel="0" collapsed="false">
      <c r="A31" s="282" t="s">
        <v>265</v>
      </c>
      <c r="B31" s="282"/>
      <c r="C31" s="282"/>
      <c r="D31" s="282"/>
      <c r="E31" s="282"/>
      <c r="F31" s="282"/>
      <c r="G31" s="283"/>
      <c r="H31" s="68"/>
    </row>
    <row r="32" customFormat="false" ht="15.75" hidden="false" customHeight="true" outlineLevel="0" collapsed="false">
      <c r="A32" s="283"/>
      <c r="B32" s="283"/>
      <c r="C32" s="283"/>
      <c r="D32" s="283"/>
      <c r="E32" s="283"/>
      <c r="F32" s="283"/>
      <c r="G32" s="283"/>
      <c r="H32" s="68"/>
      <c r="J32" s="66" t="n">
        <f aca="false">+J30*A24</f>
        <v>0</v>
      </c>
    </row>
    <row r="33" customFormat="false" ht="15.75" hidden="false" customHeight="true" outlineLevel="0" collapsed="false">
      <c r="A33" s="283"/>
      <c r="B33" s="284" t="s">
        <v>266</v>
      </c>
      <c r="C33" s="284" t="s">
        <v>267</v>
      </c>
      <c r="D33" s="284" t="s">
        <v>268</v>
      </c>
      <c r="E33" s="284" t="s">
        <v>269</v>
      </c>
      <c r="F33" s="284" t="s">
        <v>270</v>
      </c>
      <c r="G33" s="283"/>
      <c r="H33" s="68"/>
    </row>
    <row r="34" customFormat="false" ht="15.75" hidden="false" customHeight="true" outlineLevel="0" collapsed="false">
      <c r="A34" s="285" t="s">
        <v>271</v>
      </c>
      <c r="B34" s="286" t="n">
        <f aca="false">+'Compte d''exploitation'!B22</f>
        <v>1898090.90909091</v>
      </c>
      <c r="C34" s="286" t="n">
        <f aca="false">+'Compte d''exploitation'!C22</f>
        <v>1967122.72727273</v>
      </c>
      <c r="D34" s="286" t="n">
        <f aca="false">+'Compte d''exploitation'!D22</f>
        <v>2142622.36363636</v>
      </c>
      <c r="E34" s="286" t="n">
        <f aca="false">+'Compte d''exploitation'!E22</f>
        <v>2242364.88</v>
      </c>
      <c r="F34" s="286" t="n">
        <f aca="false">+'Compte d''exploitation'!F22</f>
        <v>2252995.1904</v>
      </c>
      <c r="G34" s="283"/>
      <c r="H34" s="68"/>
    </row>
    <row r="35" customFormat="false" ht="15.75" hidden="false" customHeight="true" outlineLevel="0" collapsed="false">
      <c r="A35" s="285" t="s">
        <v>272</v>
      </c>
      <c r="B35" s="286" t="n">
        <f aca="false">+B34</f>
        <v>1898090.90909091</v>
      </c>
      <c r="C35" s="286" t="n">
        <f aca="false">+C34+B35</f>
        <v>3865213.63636364</v>
      </c>
      <c r="D35" s="286" t="n">
        <f aca="false">+D34+C35</f>
        <v>6007836</v>
      </c>
      <c r="E35" s="286" t="n">
        <f aca="false">+E34+D35</f>
        <v>8250200.88</v>
      </c>
      <c r="F35" s="286" t="n">
        <f aca="false">+F34+E35</f>
        <v>10503196.0704</v>
      </c>
      <c r="G35" s="283"/>
      <c r="H35" s="68"/>
      <c r="J35" s="287"/>
    </row>
    <row r="36" customFormat="false" ht="15.75" hidden="false" customHeight="true" outlineLevel="0" collapsed="false">
      <c r="A36" s="288"/>
      <c r="B36" s="286"/>
      <c r="C36" s="286"/>
      <c r="D36" s="286"/>
      <c r="E36" s="286"/>
      <c r="F36" s="286"/>
      <c r="G36" s="283"/>
      <c r="H36" s="68"/>
    </row>
    <row r="37" customFormat="false" ht="15.75" hidden="false" customHeight="true" outlineLevel="0" collapsed="false">
      <c r="A37" s="289" t="s">
        <v>273</v>
      </c>
      <c r="B37" s="286"/>
      <c r="C37" s="286"/>
      <c r="D37" s="286"/>
      <c r="E37" s="286"/>
      <c r="F37" s="286"/>
      <c r="G37" s="283"/>
      <c r="H37" s="68"/>
    </row>
    <row r="38" customFormat="false" ht="15.75" hidden="false" customHeight="true" outlineLevel="0" collapsed="false">
      <c r="A38" s="290" t="s">
        <v>274</v>
      </c>
      <c r="B38" s="291" t="n">
        <f aca="false">IF(B35&gt;=$B$18,0,IF(C35&gt;=$B$18,1,IF(D35&gt;=$B$18,2,IF(E35&gt;=$B$18,3,IF(F35&gt;=$B$18,4,5)))))</f>
        <v>2</v>
      </c>
      <c r="C38" s="283"/>
      <c r="D38" s="283"/>
      <c r="E38" s="283"/>
      <c r="F38" s="283"/>
      <c r="G38" s="283"/>
      <c r="H38" s="68"/>
    </row>
    <row r="39" customFormat="false" ht="15.75" hidden="false" customHeight="true" outlineLevel="0" collapsed="false">
      <c r="A39" s="292" t="s">
        <v>275</v>
      </c>
      <c r="B39" s="293" t="n">
        <f aca="false">CHOOSE(B38+1,0,B35,C35,D35,E35,F35)</f>
        <v>3865213.63636364</v>
      </c>
      <c r="C39" s="275"/>
      <c r="D39" s="275"/>
      <c r="E39" s="294"/>
      <c r="F39" s="275"/>
      <c r="G39" s="275"/>
      <c r="H39" s="68"/>
    </row>
    <row r="40" customFormat="false" ht="15.75" hidden="false" customHeight="true" outlineLevel="0" collapsed="false">
      <c r="A40" s="292" t="s">
        <v>276</v>
      </c>
      <c r="B40" s="293" t="n">
        <f aca="false">CHOOSE(B38+1,B34,C34,D34,E34,F34,F34)</f>
        <v>2142622.36363636</v>
      </c>
      <c r="C40" s="275"/>
      <c r="D40" s="275"/>
      <c r="E40" s="295" t="str">
        <f aca="false">INT(B41)&amp;" ans "&amp;INT((B41-INT(B41))*12)&amp;" mois "&amp;INT((((B41-INT(B41))*12)-INT((B41-INT(B41))*12))*30) &amp; " jours "</f>
        <v>2 ans 6 mois 10 jours </v>
      </c>
      <c r="F40" s="296"/>
      <c r="G40" s="275"/>
      <c r="H40" s="68"/>
    </row>
    <row r="41" customFormat="false" ht="15" hidden="false" customHeight="true" outlineLevel="0" collapsed="false">
      <c r="A41" s="292" t="s">
        <v>277</v>
      </c>
      <c r="B41" s="297" t="n">
        <f aca="false">B38+IF(B40=0,0,(B18-B39)/B40)</f>
        <v>2.52962499733759</v>
      </c>
      <c r="C41" s="275" t="s">
        <v>278</v>
      </c>
      <c r="D41" s="275"/>
      <c r="E41" s="298"/>
      <c r="F41" s="299"/>
      <c r="G41" s="299"/>
      <c r="H41" s="68"/>
    </row>
    <row r="42" customFormat="false" ht="15" hidden="false" customHeight="true" outlineLevel="0" collapsed="false">
      <c r="A42" s="300" t="s">
        <v>279</v>
      </c>
      <c r="B42" s="301" t="str">
        <f aca="false">IF(ROUND(MOD(B41,1)*12,0)=12,(INT(B41)+1)&amp;" an(s) et 0 mois",INT(B41)&amp;" an(s) et "&amp;ROUND(MOD(B41,1)*12,0)&amp;" mois")</f>
        <v>2 an(s) et 6 mois</v>
      </c>
      <c r="C42" s="275" t="s">
        <v>280</v>
      </c>
      <c r="D42" s="275"/>
      <c r="E42" s="302"/>
      <c r="F42" s="303"/>
      <c r="G42" s="303"/>
      <c r="H42" s="68"/>
    </row>
    <row r="43" customFormat="false" ht="15" hidden="false" customHeight="true" outlineLevel="0" collapsed="false">
      <c r="A43" s="275"/>
      <c r="B43" s="275"/>
      <c r="C43" s="275"/>
      <c r="D43" s="275"/>
      <c r="E43" s="298"/>
      <c r="F43" s="298"/>
      <c r="G43" s="275"/>
      <c r="H43" s="68"/>
    </row>
    <row r="44" customFormat="false" ht="15.75" hidden="false" customHeight="true" outlineLevel="0" collapsed="false">
      <c r="A44" s="304" t="s">
        <v>281</v>
      </c>
      <c r="B44" s="305" t="n">
        <f aca="false">+B17-D36</f>
        <v>0</v>
      </c>
      <c r="C44" s="275"/>
      <c r="D44" s="275"/>
      <c r="E44" s="294"/>
      <c r="F44" s="306"/>
      <c r="G44" s="275"/>
      <c r="H44" s="68"/>
    </row>
    <row r="45" customFormat="false" ht="15.75" hidden="false" customHeight="true" outlineLevel="0" collapsed="false">
      <c r="A45" s="292" t="s">
        <v>282</v>
      </c>
      <c r="B45" s="293" t="n">
        <f aca="false">B34/(1+$A$24)^1</f>
        <v>1757491.58249158</v>
      </c>
      <c r="C45" s="307" t="n">
        <f aca="false">C34/(1+$A$24)^2</f>
        <v>1686490.67838883</v>
      </c>
      <c r="D45" s="307" t="n">
        <f aca="false">D34/(1+$A$24)^3</f>
        <v>1700882.71258539</v>
      </c>
      <c r="E45" s="308" t="n">
        <f aca="false">E34/(1+$A$24)^4</f>
        <v>1648205.12766234</v>
      </c>
      <c r="F45" s="309" t="n">
        <f aca="false">F34/(1+$A$24)^5</f>
        <v>1533350.6695841</v>
      </c>
      <c r="G45" s="275"/>
      <c r="H45" s="68"/>
    </row>
    <row r="46" customFormat="false" ht="15" hidden="false" customHeight="true" outlineLevel="0" collapsed="false">
      <c r="A46" s="292" t="s">
        <v>283</v>
      </c>
      <c r="B46" s="293" t="n">
        <f aca="false">B45</f>
        <v>1757491.58249158</v>
      </c>
      <c r="C46" s="307" t="n">
        <f aca="false">C45+B46</f>
        <v>3443982.26088041</v>
      </c>
      <c r="D46" s="307" t="n">
        <f aca="false">D45+C46</f>
        <v>5144864.9734658</v>
      </c>
      <c r="E46" s="310" t="n">
        <f aca="false">E45+D46</f>
        <v>6793070.10112813</v>
      </c>
      <c r="F46" s="310" t="n">
        <f aca="false">F45+E46</f>
        <v>8326420.77071223</v>
      </c>
      <c r="G46" s="299"/>
      <c r="H46" s="68"/>
    </row>
    <row r="47" customFormat="false" ht="15" hidden="false" customHeight="true" outlineLevel="0" collapsed="false">
      <c r="A47" s="300" t="s">
        <v>284</v>
      </c>
      <c r="B47" s="291" t="n">
        <f aca="false">IF(B46&gt;=$B$18,0,IF(C46&gt;=$B$18,1,IF(D46&gt;=$B$18,2,IF(E46&gt;=$B$18,3,IF(F46&gt;=$B$18,4,5)))))</f>
        <v>2</v>
      </c>
      <c r="C47" s="275" t="s">
        <v>280</v>
      </c>
      <c r="D47" s="275"/>
      <c r="E47" s="302"/>
      <c r="F47" s="303"/>
      <c r="G47" s="303"/>
      <c r="H47" s="68"/>
    </row>
    <row r="48" customFormat="false" ht="15" hidden="false" customHeight="true" outlineLevel="0" collapsed="false">
      <c r="A48" s="311" t="s">
        <v>285</v>
      </c>
      <c r="B48" s="312" t="n">
        <f aca="false">CHOOSE(B47+1,0,B46,C46,D46,E46,F46)</f>
        <v>3443982.26088041</v>
      </c>
    </row>
    <row r="49" customFormat="false" ht="15" hidden="false" customHeight="true" outlineLevel="0" collapsed="false">
      <c r="A49" s="311" t="s">
        <v>286</v>
      </c>
      <c r="B49" s="312" t="n">
        <f aca="false">CHOOSE(B47+1,B45,C45,D45,E45,F45,F45)</f>
        <v>1700882.71258539</v>
      </c>
    </row>
    <row r="50" customFormat="false" ht="15" hidden="false" customHeight="true" outlineLevel="0" collapsed="false">
      <c r="A50" s="311" t="s">
        <v>287</v>
      </c>
      <c r="B50" s="313" t="n">
        <f aca="false">B47+IF(B49=0,0,(B18-B48)/B49)</f>
        <v>2.91482953386857</v>
      </c>
    </row>
    <row r="51" customFormat="false" ht="15" hidden="false" customHeight="true" outlineLevel="0" collapsed="false">
      <c r="A51" s="311" t="s">
        <v>288</v>
      </c>
      <c r="B51" s="314" t="str">
        <f aca="false">IF(ROUND(MOD(B50,1)*12,0)=12,(INT(B50)+1)&amp;" an(s) et 0 mois",INT(B50)&amp;" an(s) et "&amp;ROUND(MOD(B50,1)*12,0)&amp;" mois")</f>
        <v>2 an(s) et 11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5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289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6" t="s">
        <v>290</v>
      </c>
      <c r="B4" s="316"/>
      <c r="C4" s="316"/>
      <c r="D4" s="316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7" t="s">
        <v>291</v>
      </c>
      <c r="B6" s="317" t="s">
        <v>292</v>
      </c>
      <c r="C6" s="317" t="s">
        <v>293</v>
      </c>
      <c r="D6" s="317" t="s">
        <v>292</v>
      </c>
      <c r="E6" s="68"/>
    </row>
    <row r="7" customFormat="false" ht="27" hidden="false" customHeight="true" outlineLevel="0" collapsed="false">
      <c r="A7" s="318" t="s">
        <v>294</v>
      </c>
      <c r="B7" s="319"/>
      <c r="C7" s="320" t="s">
        <v>295</v>
      </c>
      <c r="D7" s="321"/>
      <c r="E7" s="68"/>
    </row>
    <row r="8" customFormat="false" ht="15.75" hidden="false" customHeight="true" outlineLevel="0" collapsed="false">
      <c r="A8" s="318" t="s">
        <v>296</v>
      </c>
      <c r="B8" s="319"/>
      <c r="C8" s="318" t="s">
        <v>297</v>
      </c>
      <c r="D8" s="321" t="n">
        <f aca="false">+D9+D10</f>
        <v>500000</v>
      </c>
      <c r="E8" s="68"/>
    </row>
    <row r="9" customFormat="false" ht="15.75" hidden="false" customHeight="true" outlineLevel="0" collapsed="false">
      <c r="A9" s="322" t="str">
        <f aca="false">+'Coût du projet'!A5</f>
        <v>Frais d'étude / développement</v>
      </c>
      <c r="B9" s="322" t="n">
        <f aca="false">+'Coût du projet'!B5</f>
        <v>0</v>
      </c>
      <c r="C9" s="322" t="s">
        <v>298</v>
      </c>
      <c r="D9" s="321" t="n">
        <f aca="false">+B32</f>
        <v>0</v>
      </c>
      <c r="E9" s="68"/>
    </row>
    <row r="10" customFormat="false" ht="15.75" hidden="false" customHeight="true" outlineLevel="0" collapsed="false">
      <c r="A10" s="322" t="str">
        <f aca="false">+'Coût du projet'!A6</f>
        <v>Frais de publicité et de lancement</v>
      </c>
      <c r="B10" s="322" t="n">
        <f aca="false">+'Coût du projet'!B6</f>
        <v>0</v>
      </c>
      <c r="C10" s="322" t="s">
        <v>299</v>
      </c>
      <c r="D10" s="321" t="n">
        <f aca="false">+'Plan Financement'!C8</f>
        <v>500000</v>
      </c>
      <c r="E10" s="68"/>
    </row>
    <row r="11" customFormat="false" ht="17.25" hidden="false" customHeight="true" outlineLevel="0" collapsed="false">
      <c r="A11" s="322" t="str">
        <f aca="false">+'Coût du projet'!A7</f>
        <v>Frais de constitution</v>
      </c>
      <c r="B11" s="322" t="n">
        <f aca="false">+'Coût du projet'!B7</f>
        <v>15000</v>
      </c>
      <c r="C11" s="323" t="s">
        <v>300</v>
      </c>
      <c r="D11" s="321"/>
      <c r="E11" s="68"/>
    </row>
    <row r="12" customFormat="false" ht="15.75" hidden="false" customHeight="true" outlineLevel="0" collapsed="false">
      <c r="A12" s="322" t="str">
        <f aca="false">+'Coût du projet'!A8</f>
        <v>Frais d'hypothèque</v>
      </c>
      <c r="B12" s="322" t="n">
        <f aca="false">+'Coût du projet'!B8</f>
        <v>0</v>
      </c>
      <c r="C12" s="324" t="s">
        <v>301</v>
      </c>
      <c r="D12" s="321"/>
      <c r="E12" s="68"/>
    </row>
    <row r="13" customFormat="false" ht="15.75" hidden="false" customHeight="true" outlineLevel="0" collapsed="false">
      <c r="A13" s="322" t="str">
        <f aca="false">+'Coût du projet'!A9</f>
        <v>Frais de nantissement</v>
      </c>
      <c r="B13" s="322" t="n">
        <f aca="false">+'Coût du projet'!B9</f>
        <v>0</v>
      </c>
      <c r="C13" s="325" t="s">
        <v>302</v>
      </c>
      <c r="D13" s="321" t="n">
        <f aca="false">+'Compte de tresorerie'!B8+'Compte de tresorerie'!B9</f>
        <v>0</v>
      </c>
      <c r="E13" s="68"/>
    </row>
    <row r="14" customFormat="false" ht="15.75" hidden="false" customHeight="true" outlineLevel="0" collapsed="false">
      <c r="A14" s="318" t="s">
        <v>303</v>
      </c>
      <c r="B14" s="319"/>
      <c r="C14" s="326"/>
      <c r="D14" s="321"/>
      <c r="E14" s="68"/>
    </row>
    <row r="15" customFormat="false" ht="15.75" hidden="false" customHeight="true" outlineLevel="0" collapsed="false">
      <c r="A15" s="322" t="n">
        <f aca="false">+'Coût du projet'!A13</f>
        <v>0</v>
      </c>
      <c r="B15" s="327" t="n">
        <f aca="false">+'Coût du projet'!B13</f>
        <v>0</v>
      </c>
      <c r="C15" s="326"/>
      <c r="D15" s="321"/>
      <c r="E15" s="68"/>
    </row>
    <row r="16" customFormat="false" ht="15.75" hidden="false" customHeight="true" outlineLevel="0" collapsed="false">
      <c r="A16" s="322" t="n">
        <f aca="false">+'Coût du projet'!A14</f>
        <v>0</v>
      </c>
      <c r="B16" s="327" t="n">
        <f aca="false">+'Coût du projet'!B14</f>
        <v>0</v>
      </c>
      <c r="C16" s="328" t="s">
        <v>304</v>
      </c>
      <c r="D16" s="329" t="n">
        <f aca="false">+D13+D11+D8</f>
        <v>500000</v>
      </c>
      <c r="E16" s="68"/>
    </row>
    <row r="17" customFormat="false" ht="15.75" hidden="false" customHeight="true" outlineLevel="0" collapsed="false">
      <c r="A17" s="322" t="str">
        <f aca="false">+'Coût du projet'!A25</f>
        <v>Tuyaux, vannes, pulvérisateur</v>
      </c>
      <c r="B17" s="327" t="n">
        <f aca="false">+'Coût du projet'!B25</f>
        <v>500000</v>
      </c>
      <c r="C17" s="330"/>
      <c r="D17" s="321"/>
      <c r="E17" s="68"/>
    </row>
    <row r="18" customFormat="false" ht="15.75" hidden="false" customHeight="true" outlineLevel="0" collapsed="false">
      <c r="A18" s="322" t="str">
        <f aca="false">+'Coût du projet'!A20</f>
        <v>Aménagement préparatoire</v>
      </c>
      <c r="B18" s="327" t="n">
        <f aca="false">+'Coût du projet'!B20</f>
        <v>45000</v>
      </c>
      <c r="C18" s="323" t="s">
        <v>305</v>
      </c>
      <c r="D18" s="321"/>
      <c r="E18" s="68"/>
    </row>
    <row r="19" customFormat="false" ht="15.75" hidden="false" customHeight="true" outlineLevel="0" collapsed="false">
      <c r="A19" s="322" t="str">
        <f aca="false">+'Coût du projet'!A21</f>
        <v>Formation des billons</v>
      </c>
      <c r="B19" s="327" t="n">
        <f aca="false">+'Coût du projet'!B21</f>
        <v>60000</v>
      </c>
      <c r="C19" s="322" t="s">
        <v>306</v>
      </c>
      <c r="D19" s="321" t="n">
        <f aca="false">+'Plan Financement'!C14</f>
        <v>4500000</v>
      </c>
      <c r="E19" s="68"/>
    </row>
    <row r="20" customFormat="false" ht="15.75" hidden="false" customHeight="true" outlineLevel="0" collapsed="false">
      <c r="A20" s="322" t="str">
        <f aca="false">+'Coût du projet'!A22</f>
        <v>Système goutte-à-goutte</v>
      </c>
      <c r="B20" s="327" t="n">
        <f aca="false">+'Coût du projet'!B22</f>
        <v>500000</v>
      </c>
      <c r="C20" s="322" t="s">
        <v>307</v>
      </c>
      <c r="D20" s="321"/>
      <c r="E20" s="68"/>
    </row>
    <row r="21" customFormat="false" ht="15.75" hidden="false" customHeight="true" outlineLevel="0" collapsed="false">
      <c r="A21" s="322" t="str">
        <f aca="false">+'Coût du projet'!A23</f>
        <v>Pompe solaire</v>
      </c>
      <c r="B21" s="327" t="n">
        <f aca="false">+'Coût du projet'!B23</f>
        <v>1200000</v>
      </c>
      <c r="C21" s="322" t="s">
        <v>308</v>
      </c>
      <c r="D21" s="321"/>
      <c r="E21" s="68"/>
    </row>
    <row r="22" customFormat="false" ht="15.75" hidden="false" customHeight="true" outlineLevel="0" collapsed="false">
      <c r="A22" s="322" t="str">
        <f aca="false">+'Coût du projet'!A24</f>
        <v>Panneaux solaires</v>
      </c>
      <c r="B22" s="327" t="n">
        <f aca="false">+'Coût du projet'!B24</f>
        <v>800000</v>
      </c>
      <c r="C22" s="328" t="s">
        <v>309</v>
      </c>
      <c r="D22" s="329" t="n">
        <f aca="false">SUM(D17:D21)</f>
        <v>4500000</v>
      </c>
      <c r="E22" s="68"/>
    </row>
    <row r="23" customFormat="false" ht="15.75" hidden="false" customHeight="true" outlineLevel="0" collapsed="false">
      <c r="A23" s="322" t="str">
        <f aca="false">+'Coût du projet'!A29</f>
        <v>Balance</v>
      </c>
      <c r="B23" s="327" t="n">
        <f aca="false">+'Coût du projet'!B29</f>
        <v>20000</v>
      </c>
      <c r="C23" s="330"/>
      <c r="D23" s="321"/>
      <c r="E23" s="68"/>
    </row>
    <row r="24" customFormat="false" ht="15.75" hidden="false" customHeight="true" outlineLevel="0" collapsed="false">
      <c r="A24" s="322" t="str">
        <f aca="false">+'Coût du projet'!A30</f>
        <v>Petit matériel divers (1 lot)</v>
      </c>
      <c r="B24" s="327" t="n">
        <f aca="false">+'Coût du projet'!B30</f>
        <v>60000</v>
      </c>
      <c r="C24" s="328" t="s">
        <v>310</v>
      </c>
      <c r="D24" s="329" t="n">
        <f aca="false">D16+D22</f>
        <v>5000000</v>
      </c>
      <c r="E24" s="68"/>
    </row>
    <row r="25" customFormat="false" ht="15.75" hidden="false" customHeight="true" outlineLevel="0" collapsed="false">
      <c r="A25" s="322" t="n">
        <f aca="false">+'Coût du projet'!A31</f>
        <v>0</v>
      </c>
      <c r="B25" s="327" t="n">
        <f aca="false">+'Coût du projet'!B31</f>
        <v>0</v>
      </c>
      <c r="C25" s="328"/>
      <c r="D25" s="329"/>
      <c r="E25" s="68"/>
    </row>
    <row r="26" customFormat="false" ht="15.75" hidden="false" customHeight="true" outlineLevel="0" collapsed="false">
      <c r="A26" s="322" t="n">
        <f aca="false">+'Coût du projet'!A32</f>
        <v>0</v>
      </c>
      <c r="B26" s="327" t="n">
        <f aca="false">+'Coût du projet'!B32</f>
        <v>0</v>
      </c>
      <c r="C26" s="328"/>
      <c r="D26" s="329"/>
      <c r="E26" s="68"/>
    </row>
    <row r="27" customFormat="false" ht="15.75" hidden="false" customHeight="true" outlineLevel="0" collapsed="false">
      <c r="A27" s="322" t="str">
        <f aca="false">+'Coût du projet'!A35</f>
        <v>Paillage en plastique</v>
      </c>
      <c r="B27" s="327" t="n">
        <f aca="false">+'Coût du projet'!B35</f>
        <v>200000</v>
      </c>
      <c r="C27" s="328"/>
      <c r="D27" s="329"/>
      <c r="E27" s="68"/>
    </row>
    <row r="28" customFormat="false" ht="15.75" hidden="false" customHeight="true" outlineLevel="0" collapsed="false">
      <c r="A28" s="322" t="str">
        <f aca="false">+'Coût du projet'!A36</f>
        <v>Pulvérisateurs</v>
      </c>
      <c r="B28" s="327" t="n">
        <f aca="false">+'Coût du projet'!B36</f>
        <v>50000</v>
      </c>
      <c r="C28" s="328"/>
      <c r="D28" s="329"/>
      <c r="E28" s="68"/>
    </row>
    <row r="29" customFormat="false" ht="15.75" hidden="false" customHeight="true" outlineLevel="0" collapsed="false">
      <c r="A29" s="322" t="str">
        <f aca="false">+'Coût du projet'!A37</f>
        <v>Brouettes + Houes</v>
      </c>
      <c r="B29" s="327" t="n">
        <f aca="false">+'Coût du projet'!B37</f>
        <v>40000</v>
      </c>
      <c r="C29" s="328"/>
      <c r="D29" s="329"/>
      <c r="E29" s="68"/>
    </row>
    <row r="30" customFormat="false" ht="15.75" hidden="false" customHeight="true" outlineLevel="0" collapsed="false">
      <c r="A30" s="322" t="str">
        <f aca="false">+'Coût du projet'!A38</f>
        <v>P 17 (2000 m)</v>
      </c>
      <c r="B30" s="327" t="n">
        <f aca="false">+'Coût du projet'!B38</f>
        <v>150000</v>
      </c>
      <c r="C30" s="328"/>
      <c r="D30" s="329"/>
      <c r="E30" s="68"/>
    </row>
    <row r="31" customFormat="false" ht="15.75" hidden="false" customHeight="true" outlineLevel="0" collapsed="false">
      <c r="A31" s="322" t="str">
        <f aca="false">+'Coût du projet'!A39</f>
        <v>Outils divers (dabas, pioches, pelles)</v>
      </c>
      <c r="B31" s="327" t="n">
        <f aca="false">+'Coût du projet'!B39</f>
        <v>45000</v>
      </c>
      <c r="C31" s="328"/>
      <c r="D31" s="329"/>
      <c r="E31" s="68"/>
    </row>
    <row r="32" customFormat="false" ht="15.75" hidden="false" customHeight="true" outlineLevel="0" collapsed="false">
      <c r="A32" s="318" t="s">
        <v>311</v>
      </c>
      <c r="B32" s="331" t="n">
        <v>0</v>
      </c>
      <c r="C32" s="326"/>
      <c r="D32" s="321"/>
      <c r="E32" s="68"/>
    </row>
    <row r="33" customFormat="false" ht="15.75" hidden="false" customHeight="true" outlineLevel="0" collapsed="false">
      <c r="A33" s="332" t="s">
        <v>312</v>
      </c>
      <c r="B33" s="329" t="n">
        <f aca="false">SUM(B7:B32)</f>
        <v>3685000</v>
      </c>
      <c r="C33" s="326"/>
      <c r="D33" s="321"/>
      <c r="E33" s="68"/>
    </row>
    <row r="34" customFormat="false" ht="15.75" hidden="false" customHeight="true" outlineLevel="0" collapsed="false">
      <c r="A34" s="318" t="s">
        <v>313</v>
      </c>
      <c r="B34" s="319"/>
      <c r="C34" s="324" t="s">
        <v>314</v>
      </c>
      <c r="D34" s="321"/>
      <c r="E34" s="68"/>
    </row>
    <row r="35" customFormat="false" ht="15.75" hidden="false" customHeight="true" outlineLevel="0" collapsed="false">
      <c r="A35" s="318" t="s">
        <v>315</v>
      </c>
      <c r="B35" s="319"/>
      <c r="C35" s="322" t="s">
        <v>316</v>
      </c>
      <c r="D35" s="321"/>
      <c r="E35" s="68"/>
    </row>
    <row r="36" customFormat="false" ht="15.75" hidden="false" customHeight="true" outlineLevel="0" collapsed="false">
      <c r="A36" s="322" t="s">
        <v>317</v>
      </c>
      <c r="B36" s="319"/>
      <c r="C36" s="322" t="s">
        <v>318</v>
      </c>
      <c r="D36" s="321"/>
      <c r="E36" s="68"/>
    </row>
    <row r="37" customFormat="false" ht="15.75" hidden="false" customHeight="true" outlineLevel="0" collapsed="false">
      <c r="A37" s="322" t="s">
        <v>319</v>
      </c>
      <c r="B37" s="319" t="n">
        <f aca="false">+'Coût du projet'!B41+'Coût du projet'!B42</f>
        <v>295000</v>
      </c>
      <c r="C37" s="322" t="s">
        <v>320</v>
      </c>
      <c r="D37" s="321"/>
      <c r="E37" s="68"/>
    </row>
    <row r="38" customFormat="false" ht="15.75" hidden="false" customHeight="true" outlineLevel="0" collapsed="false">
      <c r="A38" s="322" t="s">
        <v>321</v>
      </c>
      <c r="B38" s="319"/>
      <c r="C38" s="322" t="s">
        <v>322</v>
      </c>
      <c r="D38" s="321"/>
      <c r="E38" s="68"/>
    </row>
    <row r="39" customFormat="false" ht="15.75" hidden="false" customHeight="true" outlineLevel="0" collapsed="false">
      <c r="A39" s="322" t="s">
        <v>323</v>
      </c>
      <c r="B39" s="319"/>
      <c r="C39" s="322" t="s">
        <v>324</v>
      </c>
      <c r="D39" s="321"/>
      <c r="E39" s="68"/>
    </row>
    <row r="40" customFormat="false" ht="15.75" hidden="false" customHeight="true" outlineLevel="0" collapsed="false">
      <c r="A40" s="318" t="s">
        <v>325</v>
      </c>
      <c r="B40" s="319"/>
      <c r="C40" s="332" t="s">
        <v>326</v>
      </c>
      <c r="D40" s="329" t="n">
        <f aca="false">SUM(D34:D39)</f>
        <v>0</v>
      </c>
      <c r="E40" s="68"/>
    </row>
    <row r="41" customFormat="false" ht="15.75" hidden="false" customHeight="true" outlineLevel="0" collapsed="false">
      <c r="A41" s="322" t="s">
        <v>327</v>
      </c>
      <c r="B41" s="319"/>
      <c r="C41" s="326"/>
      <c r="D41" s="321"/>
      <c r="E41" s="68"/>
    </row>
    <row r="42" customFormat="false" ht="15.75" hidden="false" customHeight="true" outlineLevel="0" collapsed="false">
      <c r="A42" s="322" t="s">
        <v>328</v>
      </c>
      <c r="B42" s="319"/>
      <c r="C42" s="318" t="s">
        <v>329</v>
      </c>
      <c r="D42" s="321"/>
      <c r="E42" s="68"/>
    </row>
    <row r="43" customFormat="false" ht="15.75" hidden="false" customHeight="true" outlineLevel="0" collapsed="false">
      <c r="A43" s="322" t="s">
        <v>330</v>
      </c>
      <c r="B43" s="319"/>
      <c r="C43" s="322" t="s">
        <v>331</v>
      </c>
      <c r="D43" s="321"/>
      <c r="E43" s="68"/>
    </row>
    <row r="44" customFormat="false" ht="15.75" hidden="false" customHeight="true" outlineLevel="0" collapsed="false">
      <c r="A44" s="321"/>
      <c r="B44" s="319"/>
      <c r="C44" s="322" t="s">
        <v>332</v>
      </c>
      <c r="D44" s="321"/>
      <c r="E44" s="68"/>
    </row>
    <row r="45" customFormat="false" ht="15.75" hidden="false" customHeight="true" outlineLevel="0" collapsed="false">
      <c r="A45" s="332" t="s">
        <v>333</v>
      </c>
      <c r="B45" s="329" t="n">
        <f aca="false">SUM(B34:B43)</f>
        <v>295000</v>
      </c>
      <c r="C45" s="326"/>
      <c r="D45" s="321"/>
      <c r="E45" s="68"/>
    </row>
    <row r="46" customFormat="false" ht="15.75" hidden="false" customHeight="true" outlineLevel="0" collapsed="false">
      <c r="A46" s="326"/>
      <c r="B46" s="319"/>
      <c r="C46" s="332" t="s">
        <v>334</v>
      </c>
      <c r="D46" s="329" t="n">
        <f aca="false">SUM(D41:D45)</f>
        <v>0</v>
      </c>
      <c r="E46" s="68"/>
    </row>
    <row r="47" customFormat="false" ht="15.75" hidden="false" customHeight="true" outlineLevel="0" collapsed="false">
      <c r="A47" s="322" t="s">
        <v>335</v>
      </c>
      <c r="B47" s="319"/>
      <c r="C47" s="326"/>
      <c r="D47" s="321"/>
      <c r="E47" s="68"/>
    </row>
    <row r="48" customFormat="false" ht="15.75" hidden="false" customHeight="true" outlineLevel="0" collapsed="false">
      <c r="A48" s="322" t="s">
        <v>336</v>
      </c>
      <c r="B48" s="319"/>
      <c r="C48" s="326"/>
      <c r="D48" s="321"/>
      <c r="E48" s="68"/>
    </row>
    <row r="49" customFormat="false" ht="15.75" hidden="false" customHeight="true" outlineLevel="0" collapsed="false">
      <c r="A49" s="322" t="s">
        <v>337</v>
      </c>
      <c r="B49" s="319" t="n">
        <f aca="false">+B86-B45-B33+B32</f>
        <v>1020000</v>
      </c>
      <c r="C49" s="326"/>
      <c r="D49" s="321"/>
      <c r="E49" s="68"/>
    </row>
    <row r="50" customFormat="false" ht="15.75" hidden="false" customHeight="true" outlineLevel="0" collapsed="false">
      <c r="A50" s="332" t="s">
        <v>338</v>
      </c>
      <c r="B50" s="329" t="n">
        <f aca="false">SUM(B46:B49)</f>
        <v>1020000</v>
      </c>
      <c r="C50" s="326"/>
      <c r="D50" s="321"/>
      <c r="E50" s="68"/>
    </row>
    <row r="51" customFormat="false" ht="15.75" hidden="false" customHeight="true" outlineLevel="0" collapsed="false">
      <c r="A51" s="333"/>
      <c r="B51" s="334"/>
      <c r="C51" s="335"/>
      <c r="D51" s="336"/>
      <c r="E51" s="68"/>
    </row>
    <row r="52" s="339" customFormat="true" ht="21" hidden="false" customHeight="true" outlineLevel="0" collapsed="false">
      <c r="A52" s="337" t="s">
        <v>339</v>
      </c>
      <c r="B52" s="77" t="n">
        <f aca="false">B33+B45+B50</f>
        <v>5000000</v>
      </c>
      <c r="C52" s="337" t="s">
        <v>340</v>
      </c>
      <c r="D52" s="77" t="n">
        <f aca="false">D46+D40+D24</f>
        <v>5000000</v>
      </c>
      <c r="E52" s="68"/>
      <c r="F52" s="338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40"/>
      <c r="B54" s="341"/>
      <c r="D54" s="342"/>
    </row>
    <row r="86" customFormat="false" ht="14.25" hidden="true" customHeight="true" outlineLevel="0" collapsed="false">
      <c r="B86" s="343" t="n">
        <f aca="false">+'Coût du projet'!C46</f>
        <v>5000000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4" width="51.54"/>
    <col collapsed="false" customWidth="true" hidden="false" outlineLevel="0" max="2" min="2" style="344" width="13.45"/>
    <col collapsed="false" customWidth="true" hidden="false" outlineLevel="0" max="3" min="3" style="345" width="22.45"/>
    <col collapsed="false" customWidth="true" hidden="false" outlineLevel="0" max="4" min="4" style="344" width="14.54"/>
    <col collapsed="false" customWidth="true" hidden="false" outlineLevel="0" max="5" min="5" style="344" width="3.45"/>
    <col collapsed="false" customWidth="false" hidden="false" outlineLevel="0" max="16384" min="6" style="344" width="11.45"/>
  </cols>
  <sheetData>
    <row r="1" customFormat="false" ht="15" hidden="false" customHeight="true" outlineLevel="0" collapsed="false">
      <c r="A1" s="68"/>
      <c r="B1" s="68"/>
      <c r="C1" s="346"/>
      <c r="D1" s="68"/>
      <c r="E1" s="68"/>
    </row>
    <row r="2" customFormat="false" ht="20.25" hidden="false" customHeight="true" outlineLevel="0" collapsed="false">
      <c r="A2" s="347" t="s">
        <v>341</v>
      </c>
      <c r="B2" s="348"/>
      <c r="C2" s="349"/>
      <c r="D2" s="348"/>
      <c r="E2" s="68"/>
    </row>
    <row r="3" customFormat="false" ht="15" hidden="false" customHeight="true" outlineLevel="0" collapsed="false">
      <c r="A3" s="350"/>
      <c r="B3" s="350"/>
      <c r="C3" s="351"/>
      <c r="D3" s="350"/>
      <c r="E3" s="68"/>
    </row>
    <row r="4" customFormat="false" ht="15" hidden="false" customHeight="true" outlineLevel="0" collapsed="false">
      <c r="A4" s="352" t="s">
        <v>342</v>
      </c>
      <c r="B4" s="352"/>
      <c r="C4" s="353"/>
      <c r="D4" s="352"/>
      <c r="E4" s="68"/>
    </row>
    <row r="5" customFormat="false" ht="15" hidden="false" customHeight="true" outlineLevel="0" collapsed="false">
      <c r="A5" s="354" t="s">
        <v>185</v>
      </c>
      <c r="B5" s="355" t="s">
        <v>186</v>
      </c>
      <c r="C5" s="356" t="s">
        <v>187</v>
      </c>
      <c r="D5" s="355" t="s">
        <v>188</v>
      </c>
      <c r="E5" s="68"/>
    </row>
    <row r="6" customFormat="false" ht="15" hidden="false" customHeight="true" outlineLevel="0" collapsed="false">
      <c r="A6" s="350" t="s">
        <v>196</v>
      </c>
      <c r="B6" s="357" t="n">
        <f aca="false">+'Compte d''exploitation'!B10</f>
        <v>2100000</v>
      </c>
      <c r="C6" s="358" t="n">
        <f aca="false">+'Compte d''exploitation'!C10</f>
        <v>2205000</v>
      </c>
      <c r="D6" s="357" t="n">
        <f aca="false">+'Compte d''exploitation'!D10</f>
        <v>2205000</v>
      </c>
      <c r="E6" s="68"/>
    </row>
    <row r="7" customFormat="false" ht="15" hidden="false" customHeight="true" outlineLevel="0" collapsed="false">
      <c r="A7" s="350" t="s">
        <v>343</v>
      </c>
      <c r="B7" s="359" t="n">
        <f aca="false">+'Compte d''exploitation'!B19</f>
        <v>189000</v>
      </c>
      <c r="C7" s="360" t="n">
        <f aca="false">+'Compte d''exploitation'!C19</f>
        <v>198450</v>
      </c>
      <c r="D7" s="359" t="n">
        <f aca="false">+'Compte d''exploitation'!D19</f>
        <v>198450</v>
      </c>
      <c r="E7" s="68"/>
    </row>
    <row r="8" customFormat="false" ht="15" hidden="false" customHeight="true" outlineLevel="0" collapsed="false">
      <c r="A8" s="350" t="s">
        <v>235</v>
      </c>
      <c r="B8" s="359" t="n">
        <f aca="false">+'Compte d''exploitation'!B14</f>
        <v>914916.666666667</v>
      </c>
      <c r="C8" s="360" t="n">
        <f aca="false">+'Compte d''exploitation'!C14</f>
        <v>899916.666666667</v>
      </c>
      <c r="D8" s="359" t="n">
        <f aca="false">+'Compte d''exploitation'!D14</f>
        <v>899916.666666667</v>
      </c>
      <c r="E8" s="68"/>
    </row>
    <row r="9" customFormat="false" ht="15" hidden="false" customHeight="true" outlineLevel="0" collapsed="false">
      <c r="A9" s="350" t="s">
        <v>344</v>
      </c>
      <c r="B9" s="359" t="n">
        <f aca="false">+'Compte d''exploitation'!B13</f>
        <v>382909.090909091</v>
      </c>
      <c r="C9" s="360" t="n">
        <f aca="false">+'Compte d''exploitation'!C13</f>
        <v>236127.272727273</v>
      </c>
      <c r="D9" s="359" t="n">
        <f aca="false">+'Compte d''exploitation'!D13</f>
        <v>82963.6363636366</v>
      </c>
      <c r="E9" s="68"/>
    </row>
    <row r="10" customFormat="false" ht="15" hidden="false" customHeight="true" outlineLevel="0" collapsed="false">
      <c r="A10" s="350" t="s">
        <v>345</v>
      </c>
      <c r="B10" s="359" t="n">
        <f aca="false">+'Compte d''exploitation'!B17</f>
        <v>1172174.24242424</v>
      </c>
      <c r="C10" s="360" t="n">
        <f aca="false">+'Compte d''exploitation'!C17</f>
        <v>1265656.06060606</v>
      </c>
      <c r="D10" s="359" t="n">
        <f aca="false">+'Compte d''exploitation'!D17</f>
        <v>1441155.6969697</v>
      </c>
      <c r="E10" s="68"/>
    </row>
    <row r="11" customFormat="false" ht="15" hidden="false" customHeight="true" outlineLevel="0" collapsed="false">
      <c r="A11" s="182" t="s">
        <v>346</v>
      </c>
      <c r="B11" s="361" t="n">
        <f aca="false">+B6+B8+B9+B10</f>
        <v>4570000</v>
      </c>
      <c r="C11" s="361" t="n">
        <f aca="false">+C6+C8+C9+C10</f>
        <v>4606700</v>
      </c>
      <c r="D11" s="361" t="n">
        <f aca="false">+D6+D8+D9+D10</f>
        <v>4629036</v>
      </c>
      <c r="E11" s="68"/>
    </row>
    <row r="12" customFormat="false" ht="15" hidden="false" customHeight="true" outlineLevel="0" collapsed="false">
      <c r="A12" s="350"/>
      <c r="B12" s="350"/>
      <c r="C12" s="351"/>
      <c r="D12" s="350"/>
      <c r="E12" s="68"/>
    </row>
    <row r="13" customFormat="false" ht="15" hidden="false" customHeight="true" outlineLevel="0" collapsed="false">
      <c r="A13" s="182" t="s">
        <v>347</v>
      </c>
      <c r="B13" s="361" t="n">
        <f aca="false">+'Compte d''exploitation'!B6</f>
        <v>6000000</v>
      </c>
      <c r="C13" s="361" t="n">
        <f aca="false">+'Compte d''exploitation'!C6</f>
        <v>6120000</v>
      </c>
      <c r="D13" s="361" t="n">
        <f aca="false">+'Compte d''exploitation'!D6</f>
        <v>6242400</v>
      </c>
      <c r="E13" s="68"/>
    </row>
    <row r="14" customFormat="false" ht="15" hidden="false" customHeight="true" outlineLevel="0" collapsed="false">
      <c r="A14" s="350"/>
      <c r="B14" s="350"/>
      <c r="C14" s="351"/>
      <c r="D14" s="350"/>
      <c r="E14" s="68"/>
    </row>
    <row r="15" customFormat="false" ht="15" hidden="false" customHeight="true" outlineLevel="0" collapsed="false">
      <c r="A15" s="362" t="s">
        <v>348</v>
      </c>
      <c r="B15" s="363" t="n">
        <f aca="false">+(B11/B13)</f>
        <v>0.761666666666667</v>
      </c>
      <c r="C15" s="363" t="n">
        <f aca="false">+(C11/C13)</f>
        <v>0.752728758169935</v>
      </c>
      <c r="D15" s="363" t="n">
        <f aca="false">+(D11/D13)</f>
        <v>0.741547481737793</v>
      </c>
      <c r="E15" s="68"/>
      <c r="I15" s="364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5" t="s">
        <v>349</v>
      </c>
      <c r="B17" s="366"/>
      <c r="C17" s="367" t="n">
        <f aca="false">+AVERAGE(B15:D15)</f>
        <v>0.751980968858132</v>
      </c>
      <c r="D17" s="366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8" t="s">
        <v>350</v>
      </c>
      <c r="B19" s="369"/>
      <c r="C19" s="370"/>
      <c r="E19" s="68"/>
    </row>
    <row r="20" customFormat="false" ht="15" hidden="false" customHeight="true" outlineLevel="0" collapsed="false">
      <c r="A20" s="354" t="s">
        <v>48</v>
      </c>
      <c r="B20" s="354" t="s">
        <v>351</v>
      </c>
      <c r="C20" s="371" t="s">
        <v>352</v>
      </c>
      <c r="E20" s="68"/>
    </row>
    <row r="21" customFormat="false" ht="15" hidden="false" customHeight="true" outlineLevel="0" collapsed="false">
      <c r="A21" s="372" t="s">
        <v>353</v>
      </c>
      <c r="B21" s="373"/>
      <c r="C21" s="359" t="n">
        <f aca="false">+'Compte d''exploitation'!D9</f>
        <v>1350864</v>
      </c>
      <c r="E21" s="68"/>
    </row>
    <row r="22" customFormat="false" ht="15" hidden="false" customHeight="true" outlineLevel="0" collapsed="false">
      <c r="A22" s="372" t="s">
        <v>354</v>
      </c>
      <c r="B22" s="373" t="n">
        <f aca="false">+'Compte d''exploitation'!D10</f>
        <v>2205000</v>
      </c>
      <c r="C22" s="359"/>
      <c r="E22" s="68"/>
    </row>
    <row r="23" customFormat="false" ht="15" hidden="false" customHeight="true" outlineLevel="0" collapsed="false">
      <c r="A23" s="372" t="s">
        <v>240</v>
      </c>
      <c r="B23" s="373" t="n">
        <f aca="false">+'Compte d''exploitation'!D19</f>
        <v>198450</v>
      </c>
      <c r="C23" s="359"/>
      <c r="E23" s="68"/>
    </row>
    <row r="24" customFormat="false" ht="17.25" hidden="false" customHeight="true" outlineLevel="0" collapsed="false">
      <c r="A24" s="372" t="s">
        <v>232</v>
      </c>
      <c r="B24" s="373"/>
      <c r="C24" s="359" t="n">
        <f aca="false">+'Compte d''exploitation'!D11</f>
        <v>262500</v>
      </c>
      <c r="E24" s="68"/>
      <c r="J24" s="364" t="n">
        <v>0</v>
      </c>
    </row>
    <row r="25" customFormat="false" ht="15" hidden="false" customHeight="true" outlineLevel="0" collapsed="false">
      <c r="A25" s="372" t="str">
        <f aca="false">+'Compte d''exploitation'!A12</f>
        <v>Autres charges</v>
      </c>
      <c r="B25" s="373"/>
      <c r="C25" s="359" t="n">
        <f aca="false">+'Compte d''exploitation'!D12</f>
        <v>0</v>
      </c>
      <c r="E25" s="68"/>
      <c r="J25" s="344" t="n">
        <v>0</v>
      </c>
    </row>
    <row r="26" customFormat="false" ht="15" hidden="false" customHeight="true" outlineLevel="0" collapsed="false">
      <c r="A26" s="372" t="s">
        <v>355</v>
      </c>
      <c r="B26" s="373" t="n">
        <f aca="false">+'Compte d''exploitation'!D13</f>
        <v>82963.6363636366</v>
      </c>
      <c r="C26" s="359"/>
      <c r="E26" s="68"/>
    </row>
    <row r="27" customFormat="false" ht="15" hidden="false" customHeight="true" outlineLevel="0" collapsed="false">
      <c r="A27" s="372" t="s">
        <v>235</v>
      </c>
      <c r="B27" s="373" t="n">
        <f aca="false">+'Compte d''exploitation'!D14</f>
        <v>899916.666666667</v>
      </c>
      <c r="C27" s="359"/>
      <c r="E27" s="68"/>
    </row>
    <row r="28" customFormat="false" ht="10.5" hidden="false" customHeight="true" outlineLevel="0" collapsed="false">
      <c r="A28" s="182" t="s">
        <v>194</v>
      </c>
      <c r="B28" s="374" t="n">
        <f aca="false">+SUM(B21:B27)</f>
        <v>3386330.3030303</v>
      </c>
      <c r="C28" s="375" t="n">
        <f aca="false">+SUM(C21:C27)</f>
        <v>1613364</v>
      </c>
      <c r="E28" s="68"/>
    </row>
    <row r="29" customFormat="false" ht="18" hidden="false" customHeight="true" outlineLevel="0" collapsed="false">
      <c r="A29" s="369" t="s">
        <v>356</v>
      </c>
      <c r="B29" s="376" t="n">
        <f aca="false">+(B28/(D13-C28))</f>
        <v>0.731541146586525</v>
      </c>
      <c r="C29" s="377" t="s">
        <v>357</v>
      </c>
      <c r="E29" s="68"/>
    </row>
    <row r="30" customFormat="false" ht="9" hidden="false" customHeight="true" outlineLevel="0" collapsed="false">
      <c r="A30" s="369" t="s">
        <v>358</v>
      </c>
      <c r="B30" s="376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0.784863404283536</v>
      </c>
      <c r="C30" s="377" t="s">
        <v>357</v>
      </c>
      <c r="E30" s="68"/>
    </row>
    <row r="31" customFormat="false" ht="15" hidden="false" customHeight="true" outlineLevel="0" collapsed="false">
      <c r="A31" s="369" t="s">
        <v>359</v>
      </c>
      <c r="B31" s="378" t="n">
        <f aca="false">+'Compte de tresorerie'!D27</f>
        <v>0.29911451540849</v>
      </c>
      <c r="C31" s="370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8" t="s">
        <v>360</v>
      </c>
      <c r="B33" s="379" t="n">
        <f aca="false">+'Compte de tresorerie'!D29</f>
        <v>3326420.77071223</v>
      </c>
      <c r="C33" s="370" t="s">
        <v>361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8" t="s">
        <v>362</v>
      </c>
      <c r="B35" s="379"/>
      <c r="C35" s="370"/>
      <c r="E35" s="68"/>
    </row>
    <row r="36" customFormat="false" ht="15" hidden="false" customHeight="true" outlineLevel="0" collapsed="false">
      <c r="A36" s="380" t="s">
        <v>363</v>
      </c>
      <c r="B36" s="381"/>
      <c r="C36" s="382" t="str">
        <f aca="false">+'Compte de tresorerie'!B42</f>
        <v>2 an(s) et 6 mois</v>
      </c>
      <c r="E36" s="68"/>
    </row>
    <row r="37" customFormat="false" ht="15" hidden="false" customHeight="true" outlineLevel="0" collapsed="false">
      <c r="A37" s="380" t="s">
        <v>364</v>
      </c>
      <c r="B37" s="383" t="n">
        <f aca="false">+'Compte de tresorerie'!A24</f>
        <v>0.08</v>
      </c>
      <c r="C37" s="382" t="str">
        <f aca="false">+'Compte de tresorerie'!B51</f>
        <v>2 an(s) et 11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4" t="s">
        <v>365</v>
      </c>
      <c r="B39" s="385" t="n">
        <f aca="false">+'Compte de tresorerie'!E11/'Ratios d''analyse'!D13</f>
        <v>0.199074986698977</v>
      </c>
      <c r="C39" s="370"/>
      <c r="E39" s="68"/>
    </row>
    <row r="40" customFormat="false" ht="4.5" hidden="false" customHeight="true" outlineLevel="0" collapsed="false">
      <c r="A40" s="386"/>
      <c r="B40" s="387"/>
      <c r="D40" s="388"/>
      <c r="E40" s="68"/>
    </row>
    <row r="41" customFormat="false" ht="18" hidden="false" customHeight="true" outlineLevel="0" collapsed="false">
      <c r="A41" s="68"/>
      <c r="B41" s="68"/>
      <c r="C41" s="346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9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9" width="6.45"/>
    <col collapsed="false" customWidth="false" hidden="false" outlineLevel="0" max="16384" min="16" style="389" width="11.45"/>
  </cols>
  <sheetData>
    <row r="1" customFormat="false" ht="15" hidden="false" customHeight="true" outlineLevel="0" collapsed="false">
      <c r="A1" s="68"/>
      <c r="B1" s="390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2"/>
    </row>
    <row r="2" s="66" customFormat="true" ht="39" hidden="false" customHeight="true" outlineLevel="0" collapsed="false">
      <c r="A2" s="393" t="s">
        <v>366</v>
      </c>
      <c r="B2" s="394" t="s">
        <v>367</v>
      </c>
      <c r="C2" s="395" t="s">
        <v>368</v>
      </c>
      <c r="D2" s="395" t="s">
        <v>369</v>
      </c>
      <c r="E2" s="395" t="s">
        <v>370</v>
      </c>
      <c r="F2" s="395" t="s">
        <v>371</v>
      </c>
      <c r="G2" s="395" t="s">
        <v>372</v>
      </c>
      <c r="H2" s="395" t="s">
        <v>373</v>
      </c>
      <c r="I2" s="395" t="s">
        <v>374</v>
      </c>
      <c r="J2" s="395" t="s">
        <v>375</v>
      </c>
      <c r="K2" s="395" t="s">
        <v>376</v>
      </c>
      <c r="L2" s="395" t="s">
        <v>377</v>
      </c>
      <c r="M2" s="395" t="s">
        <v>378</v>
      </c>
      <c r="N2" s="396" t="s">
        <v>379</v>
      </c>
      <c r="O2" s="392"/>
    </row>
    <row r="3" customFormat="false" ht="15.75" hidden="false" customHeight="true" outlineLevel="0" collapsed="false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2"/>
    </row>
    <row r="4" customFormat="false" ht="15" hidden="false" customHeight="true" outlineLevel="0" collapsed="false">
      <c r="A4" s="79" t="s">
        <v>247</v>
      </c>
      <c r="B4" s="80" t="n">
        <f aca="false">+'Compte de tresorerie'!B6</f>
        <v>500000</v>
      </c>
      <c r="C4" s="398"/>
      <c r="D4" s="398" t="n">
        <f aca="false">+C4</f>
        <v>0</v>
      </c>
      <c r="E4" s="398" t="n">
        <f aca="false">+D4</f>
        <v>0</v>
      </c>
      <c r="F4" s="398"/>
      <c r="G4" s="398"/>
      <c r="H4" s="398"/>
      <c r="I4" s="398"/>
      <c r="J4" s="398"/>
      <c r="K4" s="398"/>
      <c r="L4" s="398"/>
      <c r="M4" s="398"/>
      <c r="N4" s="398"/>
      <c r="O4" s="399" t="b">
        <f aca="false">+B4='Compte de tresorerie'!B6</f>
        <v>1</v>
      </c>
    </row>
    <row r="5" customFormat="false" ht="15" hidden="false" customHeight="true" outlineLevel="0" collapsed="false">
      <c r="A5" s="79" t="s">
        <v>248</v>
      </c>
      <c r="B5" s="80" t="n">
        <f aca="false">+'Compte de tresorerie'!B7</f>
        <v>4500000</v>
      </c>
      <c r="C5" s="398"/>
      <c r="D5" s="398" t="n">
        <f aca="false">C5</f>
        <v>0</v>
      </c>
      <c r="E5" s="398" t="n">
        <f aca="false">D5</f>
        <v>0</v>
      </c>
      <c r="F5" s="398"/>
      <c r="G5" s="398"/>
      <c r="H5" s="398" t="n">
        <f aca="false">G5</f>
        <v>0</v>
      </c>
      <c r="I5" s="398" t="n">
        <f aca="false">H5</f>
        <v>0</v>
      </c>
      <c r="J5" s="398" t="n">
        <f aca="false">I5</f>
        <v>0</v>
      </c>
      <c r="K5" s="398" t="n">
        <f aca="false">J5</f>
        <v>0</v>
      </c>
      <c r="L5" s="398" t="n">
        <f aca="false">K5</f>
        <v>0</v>
      </c>
      <c r="M5" s="398" t="n">
        <f aca="false">L5</f>
        <v>0</v>
      </c>
      <c r="N5" s="398" t="n">
        <f aca="false">M5</f>
        <v>0</v>
      </c>
      <c r="O5" s="399" t="b">
        <f aca="false">+B5='Compte de tresorerie'!B7</f>
        <v>1</v>
      </c>
    </row>
    <row r="6" customFormat="false" ht="15" hidden="false" customHeight="true" outlineLevel="0" collapsed="false">
      <c r="A6" s="79" t="s">
        <v>249</v>
      </c>
      <c r="B6" s="80" t="n">
        <f aca="false">+'Compte de tresorerie'!B8</f>
        <v>0</v>
      </c>
      <c r="C6" s="398"/>
      <c r="D6" s="398" t="n">
        <f aca="false">C6</f>
        <v>0</v>
      </c>
      <c r="E6" s="398" t="n">
        <f aca="false">D6</f>
        <v>0</v>
      </c>
      <c r="F6" s="398"/>
      <c r="G6" s="398"/>
      <c r="H6" s="398"/>
      <c r="I6" s="398"/>
      <c r="J6" s="398"/>
      <c r="K6" s="398"/>
      <c r="L6" s="398"/>
      <c r="M6" s="398"/>
      <c r="N6" s="398"/>
      <c r="O6" s="399" t="b">
        <f aca="false">+B6='Compte de tresorerie'!B8</f>
        <v>1</v>
      </c>
    </row>
    <row r="7" customFormat="false" ht="15" hidden="false" customHeight="true" outlineLevel="0" collapsed="false">
      <c r="A7" s="79" t="s">
        <v>250</v>
      </c>
      <c r="B7" s="80" t="n">
        <f aca="false">+'Compte de tresorerie'!B9</f>
        <v>0</v>
      </c>
      <c r="C7" s="398"/>
      <c r="D7" s="398" t="n">
        <f aca="false">C7</f>
        <v>0</v>
      </c>
      <c r="E7" s="398" t="n">
        <f aca="false">D7</f>
        <v>0</v>
      </c>
      <c r="F7" s="398"/>
      <c r="G7" s="398"/>
      <c r="H7" s="398"/>
      <c r="I7" s="398"/>
      <c r="J7" s="398"/>
      <c r="K7" s="398"/>
      <c r="L7" s="398"/>
      <c r="M7" s="398"/>
      <c r="N7" s="398"/>
      <c r="O7" s="399" t="b">
        <f aca="false">+B7='Compte de tresorerie'!B9</f>
        <v>1</v>
      </c>
    </row>
    <row r="8" customFormat="false" ht="15" hidden="false" customHeight="true" outlineLevel="0" collapsed="false">
      <c r="A8" s="79" t="s">
        <v>251</v>
      </c>
      <c r="B8" s="80" t="n">
        <f aca="false">+'Compte de tresorerie'!B10</f>
        <v>0</v>
      </c>
      <c r="C8" s="398" t="n">
        <f aca="false">+'Compte de tresorerie'!C10/12</f>
        <v>76243.0555555556</v>
      </c>
      <c r="D8" s="398" t="n">
        <f aca="false">C8</f>
        <v>76243.0555555556</v>
      </c>
      <c r="E8" s="398" t="n">
        <f aca="false">D8</f>
        <v>76243.0555555556</v>
      </c>
      <c r="F8" s="398" t="n">
        <f aca="false">+E8</f>
        <v>76243.0555555556</v>
      </c>
      <c r="G8" s="398" t="n">
        <f aca="false">+F8</f>
        <v>76243.0555555556</v>
      </c>
      <c r="H8" s="398" t="n">
        <f aca="false">+G8</f>
        <v>76243.0555555556</v>
      </c>
      <c r="I8" s="398" t="n">
        <f aca="false">+H8</f>
        <v>76243.0555555556</v>
      </c>
      <c r="J8" s="398" t="n">
        <f aca="false">+I8</f>
        <v>76243.0555555556</v>
      </c>
      <c r="K8" s="398" t="n">
        <f aca="false">+J8</f>
        <v>76243.0555555556</v>
      </c>
      <c r="L8" s="398" t="n">
        <f aca="false">+K8</f>
        <v>76243.0555555556</v>
      </c>
      <c r="M8" s="398" t="n">
        <f aca="false">+L8</f>
        <v>76243.0555555556</v>
      </c>
      <c r="N8" s="398" t="n">
        <f aca="false">+M8</f>
        <v>76243.0555555556</v>
      </c>
      <c r="O8" s="399" t="b">
        <f aca="false">SUM(C8:N8)='Compte de tresorerie'!C10</f>
        <v>1</v>
      </c>
    </row>
    <row r="9" customFormat="false" ht="15" hidden="false" customHeight="true" outlineLevel="0" collapsed="false">
      <c r="A9" s="79" t="s">
        <v>241</v>
      </c>
      <c r="B9" s="80" t="n">
        <f aca="false">+'Compte de tresorerie'!B11</f>
        <v>0</v>
      </c>
      <c r="C9" s="398" t="n">
        <f aca="false">+'Compte de tresorerie'!C11/12</f>
        <v>81931.1868686869</v>
      </c>
      <c r="D9" s="398" t="n">
        <f aca="false">C9</f>
        <v>81931.1868686869</v>
      </c>
      <c r="E9" s="398" t="n">
        <f aca="false">D9</f>
        <v>81931.1868686869</v>
      </c>
      <c r="F9" s="398" t="n">
        <f aca="false">+E9</f>
        <v>81931.1868686869</v>
      </c>
      <c r="G9" s="398" t="n">
        <f aca="false">+F9</f>
        <v>81931.1868686869</v>
      </c>
      <c r="H9" s="398" t="n">
        <f aca="false">+G9</f>
        <v>81931.1868686869</v>
      </c>
      <c r="I9" s="398" t="n">
        <f aca="false">+H9</f>
        <v>81931.1868686869</v>
      </c>
      <c r="J9" s="398" t="n">
        <f aca="false">+I9</f>
        <v>81931.1868686869</v>
      </c>
      <c r="K9" s="398" t="n">
        <f aca="false">+J9</f>
        <v>81931.1868686869</v>
      </c>
      <c r="L9" s="398" t="n">
        <f aca="false">+K9</f>
        <v>81931.1868686869</v>
      </c>
      <c r="M9" s="398" t="n">
        <f aca="false">+L9</f>
        <v>81931.1868686869</v>
      </c>
      <c r="N9" s="398" t="n">
        <f aca="false">+M9</f>
        <v>81931.1868686869</v>
      </c>
      <c r="O9" s="399" t="b">
        <f aca="false">SUM(C9:N9)='Compte de tresorerie'!C11</f>
        <v>1</v>
      </c>
    </row>
    <row r="10" customFormat="false" ht="15" hidden="false" customHeight="true" outlineLevel="0" collapsed="false">
      <c r="A10" s="352" t="s">
        <v>380</v>
      </c>
      <c r="B10" s="400"/>
      <c r="C10" s="401" t="n">
        <f aca="false">SUM(C3:C9)</f>
        <v>158174.242424242</v>
      </c>
      <c r="D10" s="401" t="n">
        <f aca="false">SUM(D3:D9)</f>
        <v>158174.242424242</v>
      </c>
      <c r="E10" s="401" t="n">
        <f aca="false">SUM(E3:E9)</f>
        <v>158174.242424242</v>
      </c>
      <c r="F10" s="401" t="n">
        <f aca="false">SUM(F3:F9)</f>
        <v>158174.242424242</v>
      </c>
      <c r="G10" s="401" t="n">
        <f aca="false">SUM(G3:G9)</f>
        <v>158174.242424242</v>
      </c>
      <c r="H10" s="401" t="n">
        <f aca="false">SUM(H3:H9)</f>
        <v>158174.242424242</v>
      </c>
      <c r="I10" s="401" t="n">
        <f aca="false">SUM(I3:I9)</f>
        <v>158174.242424242</v>
      </c>
      <c r="J10" s="401" t="n">
        <f aca="false">SUM(J3:J9)</f>
        <v>158174.242424242</v>
      </c>
      <c r="K10" s="401" t="n">
        <f aca="false">SUM(K3:K9)</f>
        <v>158174.242424242</v>
      </c>
      <c r="L10" s="401" t="n">
        <f aca="false">SUM(L3:L9)</f>
        <v>158174.242424242</v>
      </c>
      <c r="M10" s="401" t="n">
        <f aca="false">SUM(M3:M9)</f>
        <v>158174.242424242</v>
      </c>
      <c r="N10" s="401" t="n">
        <f aca="false">SUM(N3:N9)</f>
        <v>158174.242424242</v>
      </c>
      <c r="O10" s="392"/>
    </row>
    <row r="11" customFormat="false" ht="15" hidden="false" customHeight="true" outlineLevel="0" collapsed="false">
      <c r="A11" s="402" t="s">
        <v>254</v>
      </c>
      <c r="B11" s="80" t="n">
        <f aca="false">+'Compte de tresorerie'!B14</f>
        <v>15000</v>
      </c>
      <c r="C11" s="398"/>
      <c r="D11" s="398" t="n">
        <f aca="false">C11</f>
        <v>0</v>
      </c>
      <c r="E11" s="398" t="n">
        <f aca="false">D11</f>
        <v>0</v>
      </c>
      <c r="F11" s="398" t="n">
        <f aca="false">E11</f>
        <v>0</v>
      </c>
      <c r="G11" s="398" t="n">
        <f aca="false">F11</f>
        <v>0</v>
      </c>
      <c r="H11" s="398" t="n">
        <f aca="false">G11</f>
        <v>0</v>
      </c>
      <c r="I11" s="398" t="n">
        <f aca="false">H11</f>
        <v>0</v>
      </c>
      <c r="J11" s="398" t="n">
        <f aca="false">I11</f>
        <v>0</v>
      </c>
      <c r="K11" s="398" t="n">
        <f aca="false">J11</f>
        <v>0</v>
      </c>
      <c r="L11" s="398" t="n">
        <f aca="false">K11</f>
        <v>0</v>
      </c>
      <c r="M11" s="398" t="n">
        <f aca="false">L11</f>
        <v>0</v>
      </c>
      <c r="N11" s="398" t="n">
        <f aca="false">M11</f>
        <v>0</v>
      </c>
      <c r="O11" s="392"/>
    </row>
    <row r="12" customFormat="false" ht="15" hidden="false" customHeight="true" outlineLevel="0" collapsed="false">
      <c r="A12" s="402" t="s">
        <v>255</v>
      </c>
      <c r="B12" s="80" t="n">
        <f aca="false">+'Compte de tresorerie'!B15</f>
        <v>3670000</v>
      </c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2"/>
    </row>
    <row r="13" customFormat="false" ht="15" hidden="false" customHeight="true" outlineLevel="0" collapsed="false">
      <c r="A13" s="402" t="s">
        <v>256</v>
      </c>
      <c r="B13" s="80" t="n">
        <f aca="false">+'Compte de tresorerie'!B16</f>
        <v>1315000</v>
      </c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2"/>
    </row>
    <row r="14" customFormat="false" ht="15" hidden="false" customHeight="true" outlineLevel="0" collapsed="false">
      <c r="A14" s="402" t="s">
        <v>257</v>
      </c>
      <c r="B14" s="80"/>
      <c r="C14" s="398" t="n">
        <f aca="false">+'Compte de tresorerie'!C17/12</f>
        <v>102272.727272727</v>
      </c>
      <c r="D14" s="398" t="n">
        <f aca="false">+C14</f>
        <v>102272.727272727</v>
      </c>
      <c r="E14" s="398" t="n">
        <f aca="false">+D14</f>
        <v>102272.727272727</v>
      </c>
      <c r="F14" s="398" t="n">
        <f aca="false">+E14</f>
        <v>102272.727272727</v>
      </c>
      <c r="G14" s="398" t="n">
        <f aca="false">+F14</f>
        <v>102272.727272727</v>
      </c>
      <c r="H14" s="398" t="n">
        <f aca="false">+G14</f>
        <v>102272.727272727</v>
      </c>
      <c r="I14" s="398" t="n">
        <f aca="false">+H14</f>
        <v>102272.727272727</v>
      </c>
      <c r="J14" s="398" t="n">
        <f aca="false">+I14</f>
        <v>102272.727272727</v>
      </c>
      <c r="K14" s="398" t="n">
        <f aca="false">+J14</f>
        <v>102272.727272727</v>
      </c>
      <c r="L14" s="398" t="n">
        <f aca="false">+K14</f>
        <v>102272.727272727</v>
      </c>
      <c r="M14" s="398" t="n">
        <f aca="false">+L14</f>
        <v>102272.727272727</v>
      </c>
      <c r="N14" s="398" t="n">
        <f aca="false">+M14</f>
        <v>102272.727272727</v>
      </c>
      <c r="O14" s="392"/>
    </row>
    <row r="15" customFormat="false" ht="15" hidden="false" customHeight="true" outlineLevel="0" collapsed="false">
      <c r="A15" s="352" t="s">
        <v>381</v>
      </c>
      <c r="B15" s="403" t="n">
        <f aca="false">SUM(B11:B14)</f>
        <v>5000000</v>
      </c>
      <c r="C15" s="403" t="n">
        <f aca="false">SUM(C11:C14)</f>
        <v>102272.727272727</v>
      </c>
      <c r="D15" s="403" t="n">
        <f aca="false">SUM(D11:D14)</f>
        <v>102272.727272727</v>
      </c>
      <c r="E15" s="403" t="n">
        <f aca="false">SUM(E11:E14)</f>
        <v>102272.727272727</v>
      </c>
      <c r="F15" s="403" t="n">
        <f aca="false">SUM(F11:F14)</f>
        <v>102272.727272727</v>
      </c>
      <c r="G15" s="403" t="n">
        <f aca="false">SUM(G11:G14)</f>
        <v>102272.727272727</v>
      </c>
      <c r="H15" s="403" t="n">
        <f aca="false">SUM(H11:H14)</f>
        <v>102272.727272727</v>
      </c>
      <c r="I15" s="403" t="n">
        <f aca="false">SUM(I11:I14)</f>
        <v>102272.727272727</v>
      </c>
      <c r="J15" s="403" t="n">
        <f aca="false">SUM(J11:J14)</f>
        <v>102272.727272727</v>
      </c>
      <c r="K15" s="403" t="n">
        <f aca="false">SUM(K11:K14)</f>
        <v>102272.727272727</v>
      </c>
      <c r="L15" s="403" t="n">
        <f aca="false">SUM(L11:L14)</f>
        <v>102272.727272727</v>
      </c>
      <c r="M15" s="403" t="n">
        <f aca="false">SUM(M11:M14)</f>
        <v>102272.727272727</v>
      </c>
      <c r="N15" s="403" t="n">
        <f aca="false">SUM(N11:N14)</f>
        <v>102272.727272727</v>
      </c>
      <c r="O15" s="392"/>
    </row>
    <row r="16" customFormat="false" ht="15.75" hidden="false" customHeight="true" outlineLevel="0" collapsed="false">
      <c r="A16" s="404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392"/>
    </row>
    <row r="17" s="406" customFormat="true" ht="15.75" hidden="false" customHeight="true" outlineLevel="0" collapsed="false">
      <c r="A17" s="354" t="s">
        <v>382</v>
      </c>
      <c r="B17" s="355"/>
      <c r="C17" s="356" t="n">
        <f aca="false">C10-C15</f>
        <v>55901.5151515152</v>
      </c>
      <c r="D17" s="356" t="n">
        <f aca="false">D10-D15</f>
        <v>55901.5151515152</v>
      </c>
      <c r="E17" s="356" t="n">
        <f aca="false">E10-E15</f>
        <v>55901.5151515152</v>
      </c>
      <c r="F17" s="356" t="n">
        <f aca="false">F10-F15</f>
        <v>55901.5151515152</v>
      </c>
      <c r="G17" s="356" t="n">
        <f aca="false">G10-G15</f>
        <v>55901.5151515152</v>
      </c>
      <c r="H17" s="356" t="n">
        <f aca="false">H10-H15</f>
        <v>55901.5151515152</v>
      </c>
      <c r="I17" s="356" t="n">
        <f aca="false">I10-I15</f>
        <v>55901.5151515152</v>
      </c>
      <c r="J17" s="356" t="n">
        <f aca="false">J10-J15</f>
        <v>55901.5151515152</v>
      </c>
      <c r="K17" s="356" t="n">
        <f aca="false">K10-K15</f>
        <v>55901.5151515152</v>
      </c>
      <c r="L17" s="356" t="n">
        <f aca="false">L10-L15</f>
        <v>55901.5151515152</v>
      </c>
      <c r="M17" s="356" t="n">
        <f aca="false">M10-M15</f>
        <v>55901.5151515152</v>
      </c>
      <c r="N17" s="405" t="n">
        <f aca="false">N10-N15</f>
        <v>55901.5151515152</v>
      </c>
      <c r="O17" s="392"/>
    </row>
    <row r="18" customFormat="false" ht="16.5" hidden="false" customHeight="true" outlineLevel="0" collapsed="false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392"/>
    </row>
    <row r="19" s="406" customFormat="true" ht="15" hidden="false" customHeight="true" outlineLevel="0" collapsed="false">
      <c r="A19" s="354" t="s">
        <v>383</v>
      </c>
      <c r="B19" s="355"/>
      <c r="C19" s="356" t="n">
        <f aca="false">C17</f>
        <v>55901.5151515152</v>
      </c>
      <c r="D19" s="356" t="n">
        <f aca="false">C19+D17</f>
        <v>111803.03030303</v>
      </c>
      <c r="E19" s="356" t="n">
        <f aca="false">D19+E17</f>
        <v>167704.545454545</v>
      </c>
      <c r="F19" s="356" t="n">
        <f aca="false">E19+F17</f>
        <v>223606.060606061</v>
      </c>
      <c r="G19" s="356" t="n">
        <f aca="false">F19+G17</f>
        <v>279507.575757576</v>
      </c>
      <c r="H19" s="356" t="n">
        <f aca="false">G19+H17</f>
        <v>335409.090909091</v>
      </c>
      <c r="I19" s="356" t="n">
        <f aca="false">H19+I17</f>
        <v>391310.606060606</v>
      </c>
      <c r="J19" s="356" t="n">
        <f aca="false">I19+J17</f>
        <v>447212.121212121</v>
      </c>
      <c r="K19" s="356" t="n">
        <f aca="false">J19+K17</f>
        <v>503113.636363636</v>
      </c>
      <c r="L19" s="356" t="n">
        <f aca="false">K19+L17</f>
        <v>559015.151515152</v>
      </c>
      <c r="M19" s="356" t="n">
        <f aca="false">L19+M17</f>
        <v>614916.666666667</v>
      </c>
      <c r="N19" s="405" t="n">
        <f aca="false">M19+N17</f>
        <v>670818.181818182</v>
      </c>
      <c r="O19" s="399" t="b">
        <f aca="false">+N19='Compte de tresorerie'!C21</f>
        <v>1</v>
      </c>
    </row>
    <row r="20" customFormat="false" ht="15" hidden="false" customHeight="true" outlineLevel="0" collapsed="false">
      <c r="A20" s="392"/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392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10" width="37.54"/>
    <col collapsed="false" customWidth="true" hidden="false" outlineLevel="0" max="2" min="2" style="411" width="11.73"/>
    <col collapsed="false" customWidth="true" hidden="false" outlineLevel="0" max="3" min="3" style="411" width="12.45"/>
    <col collapsed="false" customWidth="true" hidden="false" outlineLevel="0" max="4" min="4" style="411" width="11.82"/>
    <col collapsed="false" customWidth="true" hidden="false" outlineLevel="0" max="5" min="5" style="411" width="11.09"/>
    <col collapsed="false" customWidth="true" hidden="false" outlineLevel="0" max="6" min="6" style="411" width="11.73"/>
    <col collapsed="false" customWidth="true" hidden="false" outlineLevel="0" max="7" min="7" style="411" width="11.27"/>
    <col collapsed="false" customWidth="true" hidden="false" outlineLevel="0" max="8" min="8" style="411" width="12"/>
    <col collapsed="false" customWidth="false" hidden="false" outlineLevel="0" max="9" min="9" style="411" width="11.45"/>
    <col collapsed="false" customWidth="true" hidden="false" outlineLevel="0" max="10" min="10" style="411" width="11.54"/>
    <col collapsed="false" customWidth="true" hidden="false" outlineLevel="0" max="11" min="11" style="411" width="12.45"/>
    <col collapsed="false" customWidth="true" hidden="false" outlineLevel="0" max="12" min="12" style="411" width="12.18"/>
    <col collapsed="false" customWidth="true" hidden="false" outlineLevel="0" max="13" min="13" style="411" width="11.09"/>
    <col collapsed="false" customWidth="true" hidden="false" outlineLevel="0" max="14" min="14" style="412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3"/>
    </row>
    <row r="2" customFormat="false" ht="15" hidden="false" customHeight="true" outlineLevel="0" collapsed="false">
      <c r="A2" s="414" t="s">
        <v>86</v>
      </c>
      <c r="B2" s="415" t="s">
        <v>368</v>
      </c>
      <c r="C2" s="415" t="s">
        <v>369</v>
      </c>
      <c r="D2" s="415" t="s">
        <v>384</v>
      </c>
      <c r="E2" s="415" t="s">
        <v>371</v>
      </c>
      <c r="F2" s="415" t="s">
        <v>372</v>
      </c>
      <c r="G2" s="415" t="s">
        <v>373</v>
      </c>
      <c r="H2" s="415" t="s">
        <v>374</v>
      </c>
      <c r="I2" s="415" t="s">
        <v>375</v>
      </c>
      <c r="J2" s="415" t="s">
        <v>376</v>
      </c>
      <c r="K2" s="415" t="s">
        <v>377</v>
      </c>
      <c r="L2" s="415" t="s">
        <v>378</v>
      </c>
      <c r="M2" s="415" t="s">
        <v>379</v>
      </c>
      <c r="N2" s="392"/>
    </row>
    <row r="3" customFormat="false" ht="15" hidden="false" customHeight="true" outlineLevel="0" collapsed="false">
      <c r="A3" s="416" t="s">
        <v>385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392"/>
    </row>
    <row r="4" customFormat="false" ht="15" hidden="false" customHeight="true" outlineLevel="0" collapsed="false">
      <c r="A4" s="418" t="str">
        <f aca="false">+'Eléments du compte d''exploitati'!A7</f>
        <v>Vente pastèque gros calibre (6-8 kg)</v>
      </c>
      <c r="B4" s="419" t="n">
        <f aca="false">+'Eléments du compte d''exploitati'!B7/12</f>
        <v>200000</v>
      </c>
      <c r="C4" s="419" t="n">
        <f aca="false">B4</f>
        <v>200000</v>
      </c>
      <c r="D4" s="419" t="n">
        <f aca="false">C4</f>
        <v>200000</v>
      </c>
      <c r="E4" s="419" t="n">
        <f aca="false">D4</f>
        <v>200000</v>
      </c>
      <c r="F4" s="419" t="n">
        <f aca="false">E4</f>
        <v>200000</v>
      </c>
      <c r="G4" s="419" t="n">
        <f aca="false">F4</f>
        <v>200000</v>
      </c>
      <c r="H4" s="419" t="n">
        <f aca="false">G4</f>
        <v>200000</v>
      </c>
      <c r="I4" s="419" t="n">
        <f aca="false">H4</f>
        <v>200000</v>
      </c>
      <c r="J4" s="419" t="n">
        <f aca="false">I4</f>
        <v>200000</v>
      </c>
      <c r="K4" s="419" t="n">
        <f aca="false">J4</f>
        <v>200000</v>
      </c>
      <c r="L4" s="419" t="n">
        <f aca="false">K4</f>
        <v>200000</v>
      </c>
      <c r="M4" s="419" t="n">
        <f aca="false">L4</f>
        <v>200000</v>
      </c>
      <c r="N4" s="399" t="b">
        <f aca="false">+SUM(B4:M4)='Eléments du compte d''exploitati'!B7</f>
        <v>1</v>
      </c>
    </row>
    <row r="5" customFormat="false" ht="15" hidden="false" customHeight="true" outlineLevel="0" collapsed="false">
      <c r="A5" s="418" t="str">
        <f aca="false">+'Eléments du compte d''exploitati'!A8</f>
        <v>Vente pastèque moyen calibre (4-5 kg)</v>
      </c>
      <c r="B5" s="419" t="n">
        <f aca="false">+'Eléments du compte d''exploitati'!B8/12</f>
        <v>200000</v>
      </c>
      <c r="C5" s="419" t="n">
        <f aca="false">B5</f>
        <v>200000</v>
      </c>
      <c r="D5" s="419" t="n">
        <f aca="false">C5</f>
        <v>200000</v>
      </c>
      <c r="E5" s="419" t="n">
        <f aca="false">D5</f>
        <v>200000</v>
      </c>
      <c r="F5" s="419" t="n">
        <f aca="false">E5</f>
        <v>200000</v>
      </c>
      <c r="G5" s="419" t="n">
        <f aca="false">F5</f>
        <v>200000</v>
      </c>
      <c r="H5" s="419" t="n">
        <f aca="false">G5</f>
        <v>200000</v>
      </c>
      <c r="I5" s="419" t="n">
        <f aca="false">H5</f>
        <v>200000</v>
      </c>
      <c r="J5" s="419" t="n">
        <f aca="false">I5</f>
        <v>200000</v>
      </c>
      <c r="K5" s="419" t="n">
        <f aca="false">J5</f>
        <v>200000</v>
      </c>
      <c r="L5" s="419" t="n">
        <f aca="false">K5</f>
        <v>200000</v>
      </c>
      <c r="M5" s="419" t="n">
        <f aca="false">L5</f>
        <v>200000</v>
      </c>
      <c r="N5" s="399" t="b">
        <f aca="false">+SUM(B5:M5)='Eléments du compte d''exploitati'!B8</f>
        <v>1</v>
      </c>
    </row>
    <row r="6" customFormat="false" ht="15" hidden="false" customHeight="true" outlineLevel="0" collapsed="false">
      <c r="A6" s="418" t="str">
        <f aca="false">+'Eléments du compte d''exploitati'!A9</f>
        <v>Vente pastèque petit calibre (2-3 kg)</v>
      </c>
      <c r="B6" s="419" t="n">
        <f aca="false">+'Eléments du compte d''exploitati'!B9/12</f>
        <v>100000</v>
      </c>
      <c r="C6" s="419" t="n">
        <f aca="false">B6</f>
        <v>100000</v>
      </c>
      <c r="D6" s="419" t="n">
        <f aca="false">C6</f>
        <v>100000</v>
      </c>
      <c r="E6" s="419" t="n">
        <f aca="false">D6</f>
        <v>100000</v>
      </c>
      <c r="F6" s="419" t="n">
        <f aca="false">E6</f>
        <v>100000</v>
      </c>
      <c r="G6" s="419" t="n">
        <f aca="false">F6</f>
        <v>100000</v>
      </c>
      <c r="H6" s="419" t="n">
        <f aca="false">G6</f>
        <v>100000</v>
      </c>
      <c r="I6" s="419" t="n">
        <f aca="false">H6</f>
        <v>100000</v>
      </c>
      <c r="J6" s="419" t="n">
        <f aca="false">I6</f>
        <v>100000</v>
      </c>
      <c r="K6" s="419" t="n">
        <f aca="false">J6</f>
        <v>100000</v>
      </c>
      <c r="L6" s="419" t="n">
        <f aca="false">K6</f>
        <v>100000</v>
      </c>
      <c r="M6" s="419" t="n">
        <f aca="false">L6</f>
        <v>100000</v>
      </c>
      <c r="N6" s="399" t="b">
        <f aca="false">+SUM(B6:M6)='Eléments du compte d''exploitati'!B9</f>
        <v>1</v>
      </c>
    </row>
    <row r="7" customFormat="false" ht="15" hidden="false" customHeight="true" outlineLevel="0" collapsed="false">
      <c r="A7" s="418" t="n">
        <f aca="false">+'Eléments du compte d''exploitati'!A10</f>
        <v>0</v>
      </c>
      <c r="B7" s="419" t="n">
        <f aca="false">+'Eléments du compte d''exploitati'!B10/12</f>
        <v>0</v>
      </c>
      <c r="C7" s="419" t="n">
        <f aca="false">B7</f>
        <v>0</v>
      </c>
      <c r="D7" s="419" t="n">
        <f aca="false">C7</f>
        <v>0</v>
      </c>
      <c r="E7" s="419" t="n">
        <f aca="false">D7</f>
        <v>0</v>
      </c>
      <c r="F7" s="419" t="n">
        <f aca="false">E7</f>
        <v>0</v>
      </c>
      <c r="G7" s="419" t="n">
        <f aca="false">F7</f>
        <v>0</v>
      </c>
      <c r="H7" s="419" t="n">
        <f aca="false">G7</f>
        <v>0</v>
      </c>
      <c r="I7" s="419" t="n">
        <f aca="false">H7</f>
        <v>0</v>
      </c>
      <c r="J7" s="419" t="n">
        <f aca="false">I7</f>
        <v>0</v>
      </c>
      <c r="K7" s="419" t="n">
        <f aca="false">J7</f>
        <v>0</v>
      </c>
      <c r="L7" s="419" t="n">
        <f aca="false">K7</f>
        <v>0</v>
      </c>
      <c r="M7" s="419" t="n">
        <f aca="false">L7</f>
        <v>0</v>
      </c>
      <c r="N7" s="399" t="b">
        <f aca="false">+SUM(B7:M7)='Eléments du compte d''exploitati'!B10</f>
        <v>1</v>
      </c>
    </row>
    <row r="8" customFormat="false" ht="15" hidden="false" customHeight="true" outlineLevel="0" collapsed="false">
      <c r="A8" s="418" t="n">
        <f aca="false">+'Eléments du compte d''exploitati'!A11</f>
        <v>0</v>
      </c>
      <c r="B8" s="419" t="n">
        <f aca="false">+'Eléments du compte d''exploitati'!B11/12</f>
        <v>0</v>
      </c>
      <c r="C8" s="419" t="n">
        <f aca="false">B8</f>
        <v>0</v>
      </c>
      <c r="D8" s="419" t="n">
        <f aca="false">C8</f>
        <v>0</v>
      </c>
      <c r="E8" s="419" t="n">
        <f aca="false">D8</f>
        <v>0</v>
      </c>
      <c r="F8" s="419" t="n">
        <f aca="false">E8</f>
        <v>0</v>
      </c>
      <c r="G8" s="419" t="n">
        <f aca="false">F8</f>
        <v>0</v>
      </c>
      <c r="H8" s="419" t="n">
        <f aca="false">G8</f>
        <v>0</v>
      </c>
      <c r="I8" s="419" t="n">
        <f aca="false">H8</f>
        <v>0</v>
      </c>
      <c r="J8" s="419" t="n">
        <f aca="false">I8</f>
        <v>0</v>
      </c>
      <c r="K8" s="419" t="n">
        <f aca="false">J8</f>
        <v>0</v>
      </c>
      <c r="L8" s="419" t="n">
        <f aca="false">K8</f>
        <v>0</v>
      </c>
      <c r="M8" s="419" t="n">
        <f aca="false">L8</f>
        <v>0</v>
      </c>
      <c r="N8" s="399" t="b">
        <f aca="false">+SUM(B8:M8)='Eléments du compte d''exploitati'!B11</f>
        <v>1</v>
      </c>
    </row>
    <row r="9" s="389" customFormat="true" ht="15" hidden="false" customHeight="true" outlineLevel="0" collapsed="false">
      <c r="A9" s="420" t="s">
        <v>386</v>
      </c>
      <c r="B9" s="353" t="n">
        <f aca="false">SUM(B4:B8)</f>
        <v>500000</v>
      </c>
      <c r="C9" s="353" t="n">
        <f aca="false">SUM(C4:C8)</f>
        <v>500000</v>
      </c>
      <c r="D9" s="353" t="n">
        <f aca="false">SUM(D4:D8)</f>
        <v>500000</v>
      </c>
      <c r="E9" s="353" t="n">
        <f aca="false">SUM(E4:E8)</f>
        <v>500000</v>
      </c>
      <c r="F9" s="353" t="n">
        <f aca="false">SUM(F4:F8)</f>
        <v>500000</v>
      </c>
      <c r="G9" s="353" t="n">
        <f aca="false">SUM(G4:G8)</f>
        <v>500000</v>
      </c>
      <c r="H9" s="353" t="n">
        <f aca="false">SUM(H4:H8)</f>
        <v>500000</v>
      </c>
      <c r="I9" s="353" t="n">
        <f aca="false">SUM(I4:I8)</f>
        <v>500000</v>
      </c>
      <c r="J9" s="353" t="n">
        <f aca="false">SUM(J4:J8)</f>
        <v>500000</v>
      </c>
      <c r="K9" s="353" t="n">
        <f aca="false">SUM(K4:K8)</f>
        <v>500000</v>
      </c>
      <c r="L9" s="353" t="n">
        <f aca="false">SUM(L4:L8)</f>
        <v>500000</v>
      </c>
      <c r="M9" s="353" t="n">
        <f aca="false">SUM(M4:M8)</f>
        <v>500000</v>
      </c>
      <c r="N9" s="392"/>
    </row>
    <row r="10" customFormat="false" ht="15" hidden="false" customHeight="true" outlineLevel="0" collapsed="false">
      <c r="A10" s="416" t="s">
        <v>387</v>
      </c>
      <c r="B10" s="417"/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392"/>
    </row>
    <row r="11" customFormat="false" ht="15" hidden="false" customHeight="true" outlineLevel="0" collapsed="false">
      <c r="A11" s="418" t="s">
        <v>388</v>
      </c>
      <c r="B11" s="419" t="n">
        <f aca="false">+'Compte d''exploitation'!B9/12</f>
        <v>98333.3333333333</v>
      </c>
      <c r="C11" s="419" t="n">
        <f aca="false">B11</f>
        <v>98333.3333333333</v>
      </c>
      <c r="D11" s="419" t="n">
        <f aca="false">C11</f>
        <v>98333.3333333333</v>
      </c>
      <c r="E11" s="419" t="n">
        <f aca="false">D11</f>
        <v>98333.3333333333</v>
      </c>
      <c r="F11" s="419" t="n">
        <f aca="false">E11</f>
        <v>98333.3333333333</v>
      </c>
      <c r="G11" s="419" t="n">
        <f aca="false">F11</f>
        <v>98333.3333333333</v>
      </c>
      <c r="H11" s="419" t="n">
        <f aca="false">G11</f>
        <v>98333.3333333333</v>
      </c>
      <c r="I11" s="419" t="n">
        <f aca="false">H11</f>
        <v>98333.3333333333</v>
      </c>
      <c r="J11" s="419" t="n">
        <f aca="false">I11</f>
        <v>98333.3333333333</v>
      </c>
      <c r="K11" s="419" t="n">
        <f aca="false">J11</f>
        <v>98333.3333333333</v>
      </c>
      <c r="L11" s="419" t="n">
        <f aca="false">K11</f>
        <v>98333.3333333333</v>
      </c>
      <c r="M11" s="419" t="n">
        <f aca="false">L11</f>
        <v>98333.3333333333</v>
      </c>
      <c r="N11" s="399" t="b">
        <f aca="false">+SUM(B11:M11)='Compte d''exploitation'!B9</f>
        <v>1</v>
      </c>
    </row>
    <row r="12" customFormat="false" ht="15" hidden="false" customHeight="true" outlineLevel="0" collapsed="false">
      <c r="A12" s="418" t="str">
        <f aca="false">+'Compte d''exploitation'!A10</f>
        <v>Charges de Personnel</v>
      </c>
      <c r="B12" s="419" t="n">
        <f aca="false">+'Compte d''exploitation'!B10/12</f>
        <v>175000</v>
      </c>
      <c r="C12" s="419" t="n">
        <f aca="false">B12</f>
        <v>175000</v>
      </c>
      <c r="D12" s="419" t="n">
        <f aca="false">C12</f>
        <v>175000</v>
      </c>
      <c r="E12" s="419" t="n">
        <f aca="false">D12</f>
        <v>175000</v>
      </c>
      <c r="F12" s="419" t="n">
        <f aca="false">E12</f>
        <v>175000</v>
      </c>
      <c r="G12" s="419" t="n">
        <f aca="false">F12</f>
        <v>175000</v>
      </c>
      <c r="H12" s="419" t="n">
        <f aca="false">G12</f>
        <v>175000</v>
      </c>
      <c r="I12" s="419" t="n">
        <f aca="false">H12</f>
        <v>175000</v>
      </c>
      <c r="J12" s="419" t="n">
        <f aca="false">I12</f>
        <v>175000</v>
      </c>
      <c r="K12" s="419" t="n">
        <f aca="false">J12</f>
        <v>175000</v>
      </c>
      <c r="L12" s="419" t="n">
        <f aca="false">K12</f>
        <v>175000</v>
      </c>
      <c r="M12" s="419" t="n">
        <f aca="false">L12</f>
        <v>175000</v>
      </c>
      <c r="N12" s="399" t="b">
        <f aca="false">+SUM(B12:M12)='Compte d''exploitation'!B10</f>
        <v>1</v>
      </c>
    </row>
    <row r="13" customFormat="false" ht="15" hidden="false" customHeight="true" outlineLevel="0" collapsed="false">
      <c r="A13" s="418" t="str">
        <f aca="false">+'Compte d''exploitation'!A19</f>
        <v>Impôts et taxes</v>
      </c>
      <c r="B13" s="419" t="n">
        <f aca="false">+'Compte d''exploitation'!B19/12</f>
        <v>15750</v>
      </c>
      <c r="C13" s="419" t="n">
        <f aca="false">B13</f>
        <v>15750</v>
      </c>
      <c r="D13" s="419" t="n">
        <f aca="false">C13</f>
        <v>15750</v>
      </c>
      <c r="E13" s="419" t="n">
        <f aca="false">D13</f>
        <v>15750</v>
      </c>
      <c r="F13" s="419" t="n">
        <f aca="false">E13</f>
        <v>15750</v>
      </c>
      <c r="G13" s="419" t="n">
        <f aca="false">F13</f>
        <v>15750</v>
      </c>
      <c r="H13" s="419" t="n">
        <f aca="false">G13</f>
        <v>15750</v>
      </c>
      <c r="I13" s="419" t="n">
        <f aca="false">H13</f>
        <v>15750</v>
      </c>
      <c r="J13" s="419" t="n">
        <f aca="false">I13</f>
        <v>15750</v>
      </c>
      <c r="K13" s="419" t="n">
        <f aca="false">J13</f>
        <v>15750</v>
      </c>
      <c r="L13" s="419" t="n">
        <f aca="false">K13</f>
        <v>15750</v>
      </c>
      <c r="M13" s="419" t="n">
        <f aca="false">L13</f>
        <v>15750</v>
      </c>
      <c r="N13" s="399" t="b">
        <f aca="false">+SUM(B13:M13)='Compte d''exploitation'!B19</f>
        <v>1</v>
      </c>
    </row>
    <row r="14" s="424" customFormat="true" ht="28.5" hidden="false" customHeight="true" outlineLevel="0" collapsed="false">
      <c r="A14" s="421" t="str">
        <f aca="false">+'Compte d''exploitation'!A11</f>
        <v>Travaux-Fournitures et Services Extérieurs (TFSE)</v>
      </c>
      <c r="B14" s="422" t="n">
        <f aca="false">+'Compte d''exploitation'!B11/12</f>
        <v>20833.3333333333</v>
      </c>
      <c r="C14" s="422" t="n">
        <f aca="false">B14</f>
        <v>20833.3333333333</v>
      </c>
      <c r="D14" s="422" t="n">
        <f aca="false">C14</f>
        <v>20833.3333333333</v>
      </c>
      <c r="E14" s="422" t="n">
        <f aca="false">D14</f>
        <v>20833.3333333333</v>
      </c>
      <c r="F14" s="422" t="n">
        <f aca="false">E14</f>
        <v>20833.3333333333</v>
      </c>
      <c r="G14" s="422" t="n">
        <f aca="false">F14</f>
        <v>20833.3333333333</v>
      </c>
      <c r="H14" s="422" t="n">
        <f aca="false">G14</f>
        <v>20833.3333333333</v>
      </c>
      <c r="I14" s="422" t="n">
        <f aca="false">H14</f>
        <v>20833.3333333333</v>
      </c>
      <c r="J14" s="422" t="n">
        <f aca="false">I14</f>
        <v>20833.3333333333</v>
      </c>
      <c r="K14" s="422" t="n">
        <f aca="false">J14</f>
        <v>20833.3333333333</v>
      </c>
      <c r="L14" s="422" t="n">
        <f aca="false">K14</f>
        <v>20833.3333333333</v>
      </c>
      <c r="M14" s="422" t="n">
        <f aca="false">L14</f>
        <v>20833.3333333333</v>
      </c>
      <c r="N14" s="423" t="b">
        <f aca="false">+SUM(B14:M14)='Compte d''exploitation'!B11</f>
        <v>1</v>
      </c>
    </row>
    <row r="15" customFormat="false" ht="15" hidden="false" customHeight="true" outlineLevel="0" collapsed="false">
      <c r="A15" s="418" t="str">
        <f aca="false">+'Compte d''exploitation'!A12</f>
        <v>Autres charges</v>
      </c>
      <c r="B15" s="419" t="n">
        <f aca="false">+'Compte d''exploitation'!B12/12</f>
        <v>0</v>
      </c>
      <c r="C15" s="419" t="n">
        <f aca="false">B15</f>
        <v>0</v>
      </c>
      <c r="D15" s="419" t="n">
        <f aca="false">C15</f>
        <v>0</v>
      </c>
      <c r="E15" s="419" t="n">
        <f aca="false">D15</f>
        <v>0</v>
      </c>
      <c r="F15" s="419" t="n">
        <f aca="false">E15</f>
        <v>0</v>
      </c>
      <c r="G15" s="419" t="n">
        <f aca="false">F15</f>
        <v>0</v>
      </c>
      <c r="H15" s="419" t="n">
        <f aca="false">G15</f>
        <v>0</v>
      </c>
      <c r="I15" s="419" t="n">
        <f aca="false">H15</f>
        <v>0</v>
      </c>
      <c r="J15" s="419" t="n">
        <f aca="false">I15</f>
        <v>0</v>
      </c>
      <c r="K15" s="419" t="n">
        <f aca="false">J15</f>
        <v>0</v>
      </c>
      <c r="L15" s="419" t="n">
        <f aca="false">K15</f>
        <v>0</v>
      </c>
      <c r="M15" s="419" t="n">
        <f aca="false">L15</f>
        <v>0</v>
      </c>
      <c r="N15" s="399" t="b">
        <f aca="false">+SUM(B15:M15)='Compte d''exploitation'!B12</f>
        <v>1</v>
      </c>
    </row>
    <row r="16" customFormat="false" ht="15" hidden="false" customHeight="true" outlineLevel="0" collapsed="false">
      <c r="A16" s="418" t="str">
        <f aca="false">+'Compte d''exploitation'!A13</f>
        <v>Frais financiers  et charges assimilées</v>
      </c>
      <c r="B16" s="419" t="n">
        <f aca="false">+'Compte d''exploitation'!B13/12</f>
        <v>31909.0909090909</v>
      </c>
      <c r="C16" s="419" t="n">
        <f aca="false">B16</f>
        <v>31909.0909090909</v>
      </c>
      <c r="D16" s="419" t="n">
        <f aca="false">C16</f>
        <v>31909.0909090909</v>
      </c>
      <c r="E16" s="419" t="n">
        <f aca="false">D16</f>
        <v>31909.0909090909</v>
      </c>
      <c r="F16" s="419" t="n">
        <f aca="false">E16</f>
        <v>31909.0909090909</v>
      </c>
      <c r="G16" s="419" t="n">
        <f aca="false">F16</f>
        <v>31909.0909090909</v>
      </c>
      <c r="H16" s="419" t="n">
        <f aca="false">G16</f>
        <v>31909.0909090909</v>
      </c>
      <c r="I16" s="419" t="n">
        <f aca="false">H16</f>
        <v>31909.0909090909</v>
      </c>
      <c r="J16" s="419" t="n">
        <f aca="false">I16</f>
        <v>31909.0909090909</v>
      </c>
      <c r="K16" s="419" t="n">
        <f aca="false">J16</f>
        <v>31909.0909090909</v>
      </c>
      <c r="L16" s="419" t="n">
        <f aca="false">K16</f>
        <v>31909.0909090909</v>
      </c>
      <c r="M16" s="419" t="n">
        <f aca="false">L16</f>
        <v>31909.0909090909</v>
      </c>
      <c r="N16" s="399" t="b">
        <f aca="false">+SUM(B16:M16)='Compte d''exploitation'!B13</f>
        <v>1</v>
      </c>
    </row>
    <row r="17" customFormat="false" ht="15" hidden="false" customHeight="true" outlineLevel="0" collapsed="false">
      <c r="A17" s="418" t="s">
        <v>389</v>
      </c>
      <c r="B17" s="419" t="n">
        <f aca="false">+'Compte d''exploitation'!B14/12</f>
        <v>76243.0555555556</v>
      </c>
      <c r="C17" s="419" t="n">
        <f aca="false">B17</f>
        <v>76243.0555555556</v>
      </c>
      <c r="D17" s="419" t="n">
        <f aca="false">C17</f>
        <v>76243.0555555556</v>
      </c>
      <c r="E17" s="419" t="n">
        <f aca="false">D17</f>
        <v>76243.0555555556</v>
      </c>
      <c r="F17" s="419" t="n">
        <f aca="false">E17</f>
        <v>76243.0555555556</v>
      </c>
      <c r="G17" s="419" t="n">
        <f aca="false">F17</f>
        <v>76243.0555555556</v>
      </c>
      <c r="H17" s="419" t="n">
        <f aca="false">G17</f>
        <v>76243.0555555556</v>
      </c>
      <c r="I17" s="419" t="n">
        <f aca="false">H17</f>
        <v>76243.0555555556</v>
      </c>
      <c r="J17" s="419" t="n">
        <f aca="false">I17</f>
        <v>76243.0555555556</v>
      </c>
      <c r="K17" s="419" t="n">
        <f aca="false">J17</f>
        <v>76243.0555555556</v>
      </c>
      <c r="L17" s="419" t="n">
        <f aca="false">K17</f>
        <v>76243.0555555556</v>
      </c>
      <c r="M17" s="419" t="n">
        <f aca="false">L17</f>
        <v>76243.0555555556</v>
      </c>
      <c r="N17" s="399" t="b">
        <f aca="false">+SUM(B17:M17)='Compte d''exploitation'!B14</f>
        <v>1</v>
      </c>
    </row>
    <row r="18" s="389" customFormat="true" ht="15" hidden="false" customHeight="true" outlineLevel="0" collapsed="false">
      <c r="A18" s="420" t="s">
        <v>390</v>
      </c>
      <c r="B18" s="353" t="n">
        <f aca="false">SUM(B11:B17)</f>
        <v>418068.813131313</v>
      </c>
      <c r="C18" s="353" t="n">
        <f aca="false">SUM(C11:C17)</f>
        <v>418068.813131313</v>
      </c>
      <c r="D18" s="353" t="n">
        <f aca="false">SUM(D11:D17)</f>
        <v>418068.813131313</v>
      </c>
      <c r="E18" s="353" t="n">
        <f aca="false">SUM(E11:E17)</f>
        <v>418068.813131313</v>
      </c>
      <c r="F18" s="353" t="n">
        <f aca="false">SUM(F11:F17)</f>
        <v>418068.813131313</v>
      </c>
      <c r="G18" s="353" t="n">
        <f aca="false">SUM(G11:G17)</f>
        <v>418068.813131313</v>
      </c>
      <c r="H18" s="353" t="n">
        <f aca="false">SUM(H11:H17)</f>
        <v>418068.813131313</v>
      </c>
      <c r="I18" s="353" t="n">
        <f aca="false">SUM(I11:I17)</f>
        <v>418068.813131313</v>
      </c>
      <c r="J18" s="353" t="n">
        <f aca="false">SUM(J11:J17)</f>
        <v>418068.813131313</v>
      </c>
      <c r="K18" s="353" t="n">
        <f aca="false">SUM(K11:K17)</f>
        <v>418068.813131313</v>
      </c>
      <c r="L18" s="353" t="n">
        <f aca="false">SUM(L11:L17)</f>
        <v>418068.813131313</v>
      </c>
      <c r="M18" s="353" t="n">
        <f aca="false">SUM(M11:M17)</f>
        <v>418068.813131313</v>
      </c>
      <c r="N18" s="392"/>
    </row>
    <row r="19" customFormat="false" ht="15" hidden="false" customHeight="true" outlineLevel="0" collapsed="false">
      <c r="A19" s="425"/>
      <c r="B19" s="425"/>
      <c r="C19" s="425"/>
      <c r="D19" s="425"/>
      <c r="E19" s="425"/>
      <c r="F19" s="425"/>
      <c r="G19" s="425"/>
      <c r="H19" s="425"/>
      <c r="I19" s="425"/>
      <c r="J19" s="425"/>
      <c r="K19" s="425"/>
      <c r="L19" s="425"/>
      <c r="M19" s="417"/>
      <c r="N19" s="392"/>
    </row>
    <row r="20" s="406" customFormat="true" ht="14.25" hidden="false" customHeight="true" outlineLevel="0" collapsed="false">
      <c r="A20" s="426" t="s">
        <v>391</v>
      </c>
      <c r="B20" s="427" t="n">
        <f aca="false">B9-B18</f>
        <v>81931.1868686869</v>
      </c>
      <c r="C20" s="427" t="n">
        <f aca="false">C9-C18</f>
        <v>81931.1868686869</v>
      </c>
      <c r="D20" s="427" t="n">
        <f aca="false">D9-D18</f>
        <v>81931.1868686869</v>
      </c>
      <c r="E20" s="427" t="n">
        <f aca="false">E9-E18</f>
        <v>81931.1868686869</v>
      </c>
      <c r="F20" s="427" t="n">
        <f aca="false">F9-F18</f>
        <v>81931.1868686869</v>
      </c>
      <c r="G20" s="427" t="n">
        <f aca="false">G9-G18</f>
        <v>81931.1868686869</v>
      </c>
      <c r="H20" s="427" t="n">
        <f aca="false">H9-H18</f>
        <v>81931.1868686869</v>
      </c>
      <c r="I20" s="427" t="n">
        <f aca="false">I9-I18</f>
        <v>81931.1868686869</v>
      </c>
      <c r="J20" s="427" t="n">
        <f aca="false">J9-J18</f>
        <v>81931.1868686869</v>
      </c>
      <c r="K20" s="427" t="n">
        <f aca="false">K9-K18</f>
        <v>81931.1868686869</v>
      </c>
      <c r="L20" s="427" t="n">
        <f aca="false">L9-L18</f>
        <v>81931.1868686869</v>
      </c>
      <c r="M20" s="427" t="n">
        <f aca="false">M9-M18</f>
        <v>81931.1868686869</v>
      </c>
      <c r="N20" s="392"/>
    </row>
    <row r="21" customFormat="false" ht="15" hidden="false" customHeight="true" outlineLevel="0" collapsed="false">
      <c r="A21" s="418" t="str">
        <f aca="false">+'Compte d''exploitation'!A18</f>
        <v>BIC </v>
      </c>
      <c r="B21" s="428" t="n">
        <f aca="false">+'Compte d''exploitation'!B18/12</f>
        <v>0</v>
      </c>
      <c r="C21" s="419" t="n">
        <f aca="false">B21</f>
        <v>0</v>
      </c>
      <c r="D21" s="419" t="n">
        <f aca="false">C21</f>
        <v>0</v>
      </c>
      <c r="E21" s="419" t="n">
        <f aca="false">D21</f>
        <v>0</v>
      </c>
      <c r="F21" s="419" t="n">
        <f aca="false">E21</f>
        <v>0</v>
      </c>
      <c r="G21" s="419" t="n">
        <f aca="false">F21</f>
        <v>0</v>
      </c>
      <c r="H21" s="419" t="n">
        <f aca="false">G21</f>
        <v>0</v>
      </c>
      <c r="I21" s="419" t="n">
        <f aca="false">H21</f>
        <v>0</v>
      </c>
      <c r="J21" s="419" t="n">
        <f aca="false">I21</f>
        <v>0</v>
      </c>
      <c r="K21" s="419" t="n">
        <f aca="false">J21</f>
        <v>0</v>
      </c>
      <c r="L21" s="419" t="n">
        <f aca="false">K21</f>
        <v>0</v>
      </c>
      <c r="M21" s="419" t="n">
        <f aca="false">L21</f>
        <v>0</v>
      </c>
      <c r="N21" s="392"/>
    </row>
    <row r="22" customFormat="false" ht="15" hidden="false" customHeight="true" outlineLevel="0" collapsed="false">
      <c r="A22" s="425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17"/>
      <c r="N22" s="392"/>
    </row>
    <row r="23" customFormat="false" ht="15" hidden="false" customHeight="true" outlineLevel="0" collapsed="false">
      <c r="A23" s="426" t="s">
        <v>392</v>
      </c>
      <c r="B23" s="427" t="n">
        <f aca="false">B20-B21</f>
        <v>81931.1868686869</v>
      </c>
      <c r="C23" s="427" t="n">
        <f aca="false">C20-C21</f>
        <v>81931.1868686869</v>
      </c>
      <c r="D23" s="427" t="n">
        <f aca="false">D20-D21</f>
        <v>81931.1868686869</v>
      </c>
      <c r="E23" s="427" t="n">
        <f aca="false">E20-E21</f>
        <v>81931.1868686869</v>
      </c>
      <c r="F23" s="427" t="n">
        <f aca="false">F20-F21</f>
        <v>81931.1868686869</v>
      </c>
      <c r="G23" s="427" t="n">
        <f aca="false">G20-G21</f>
        <v>81931.1868686869</v>
      </c>
      <c r="H23" s="427" t="n">
        <f aca="false">H20-H21</f>
        <v>81931.1868686869</v>
      </c>
      <c r="I23" s="427" t="n">
        <f aca="false">I20-I21</f>
        <v>81931.1868686869</v>
      </c>
      <c r="J23" s="427" t="n">
        <f aca="false">J20-J21</f>
        <v>81931.1868686869</v>
      </c>
      <c r="K23" s="427" t="n">
        <f aca="false">K20-K21</f>
        <v>81931.1868686869</v>
      </c>
      <c r="L23" s="427" t="n">
        <f aca="false">L20-L21</f>
        <v>81931.1868686869</v>
      </c>
      <c r="M23" s="427" t="n">
        <f aca="false">M20-M21</f>
        <v>81931.1868686869</v>
      </c>
      <c r="N23" s="392"/>
    </row>
    <row r="24" customFormat="false" ht="15" hidden="false" customHeight="true" outlineLevel="0" collapsed="false">
      <c r="A24" s="429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392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30" width="15.09"/>
    <col collapsed="false" customWidth="true" hidden="false" outlineLevel="0" max="4" min="4" style="430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1" t="s">
        <v>393</v>
      </c>
      <c r="B1" s="431"/>
      <c r="C1" s="431"/>
      <c r="D1" s="431"/>
      <c r="E1" s="275"/>
    </row>
    <row r="2" customFormat="false" ht="15.75" hidden="false" customHeight="true" outlineLevel="0" collapsed="false">
      <c r="A2" s="275"/>
      <c r="B2" s="275"/>
      <c r="C2" s="275"/>
      <c r="D2" s="275"/>
      <c r="E2" s="275"/>
    </row>
    <row r="3" customFormat="false" ht="15" hidden="false" customHeight="true" outlineLevel="0" collapsed="false">
      <c r="A3" s="432" t="s">
        <v>394</v>
      </c>
      <c r="B3" s="433"/>
      <c r="C3" s="433"/>
      <c r="D3" s="434"/>
      <c r="E3" s="275"/>
    </row>
    <row r="4" customFormat="false" ht="15" hidden="false" customHeight="true" outlineLevel="0" collapsed="false">
      <c r="A4" s="435" t="s">
        <v>395</v>
      </c>
      <c r="B4" s="436"/>
      <c r="C4" s="437" t="n">
        <f aca="false">+D4/D4</f>
        <v>1</v>
      </c>
      <c r="D4" s="438" t="n">
        <f aca="false">+'Coût du projet'!C46</f>
        <v>5000000</v>
      </c>
      <c r="E4" s="275"/>
    </row>
    <row r="5" customFormat="false" ht="15" hidden="false" customHeight="true" outlineLevel="0" collapsed="false">
      <c r="A5" s="439" t="s">
        <v>396</v>
      </c>
      <c r="B5" s="440"/>
      <c r="C5" s="441" t="n">
        <f aca="false">+D5/D4</f>
        <v>0.1</v>
      </c>
      <c r="D5" s="438" t="n">
        <f aca="false">+'Plan Financement'!C7</f>
        <v>500000</v>
      </c>
      <c r="E5" s="275"/>
    </row>
    <row r="6" customFormat="false" ht="15" hidden="false" customHeight="true" outlineLevel="0" collapsed="false">
      <c r="A6" s="439" t="s">
        <v>397</v>
      </c>
      <c r="B6" s="436" t="s">
        <v>398</v>
      </c>
      <c r="C6" s="441" t="n">
        <f aca="false">+'Plan Financement'!B11</f>
        <v>0</v>
      </c>
      <c r="D6" s="438" t="n">
        <f aca="false">+'Plan Financement'!C11</f>
        <v>0</v>
      </c>
      <c r="E6" s="275"/>
    </row>
    <row r="7" customFormat="false" ht="15" hidden="false" customHeight="true" outlineLevel="0" collapsed="false">
      <c r="A7" s="439"/>
      <c r="B7" s="436" t="s">
        <v>399</v>
      </c>
      <c r="C7" s="441" t="n">
        <f aca="false">+'Plan Financement'!B12</f>
        <v>0</v>
      </c>
      <c r="D7" s="438" t="n">
        <f aca="false">+'Plan Financement'!C12</f>
        <v>0</v>
      </c>
      <c r="E7" s="275"/>
    </row>
    <row r="8" customFormat="false" ht="15" hidden="false" customHeight="true" outlineLevel="0" collapsed="false">
      <c r="A8" s="439"/>
      <c r="B8" s="436" t="s">
        <v>400</v>
      </c>
      <c r="C8" s="441" t="n">
        <f aca="false">+'Plan Financement'!B17</f>
        <v>0</v>
      </c>
      <c r="D8" s="438" t="n">
        <f aca="false">+'Plan Financement'!C17</f>
        <v>0</v>
      </c>
      <c r="E8" s="275"/>
    </row>
    <row r="9" customFormat="false" ht="15" hidden="false" customHeight="true" outlineLevel="0" collapsed="false">
      <c r="A9" s="439" t="s">
        <v>401</v>
      </c>
      <c r="B9" s="436" t="s">
        <v>402</v>
      </c>
      <c r="C9" s="441" t="n">
        <f aca="false">+'Plan Financement'!B13</f>
        <v>0</v>
      </c>
      <c r="D9" s="438" t="n">
        <f aca="false">+'Plan Financement'!C13</f>
        <v>0</v>
      </c>
      <c r="E9" s="275"/>
    </row>
    <row r="10" customFormat="false" ht="15" hidden="false" customHeight="true" outlineLevel="0" collapsed="false">
      <c r="A10" s="439" t="s">
        <v>403</v>
      </c>
      <c r="B10" s="436" t="s">
        <v>404</v>
      </c>
      <c r="C10" s="441" t="n">
        <f aca="false">+D10/D4</f>
        <v>0.9</v>
      </c>
      <c r="D10" s="438" t="n">
        <f aca="false">+IF('Plan Financement'!B19&lt;36,0,'Plan Financement'!C15)</f>
        <v>4500000</v>
      </c>
      <c r="E10" s="275"/>
    </row>
    <row r="11" customFormat="false" ht="15" hidden="false" customHeight="true" outlineLevel="0" collapsed="false">
      <c r="A11" s="439"/>
      <c r="B11" s="436" t="s">
        <v>405</v>
      </c>
      <c r="C11" s="441" t="n">
        <f aca="false">+D11/D4</f>
        <v>0</v>
      </c>
      <c r="D11" s="438" t="n">
        <f aca="false">+IF('Plan Financement'!B19&lt;36,'Plan Financement'!C15,0)</f>
        <v>0</v>
      </c>
      <c r="E11" s="275"/>
    </row>
    <row r="12" customFormat="false" ht="15" hidden="false" customHeight="true" outlineLevel="0" collapsed="false">
      <c r="A12" s="442" t="s">
        <v>406</v>
      </c>
      <c r="B12" s="443"/>
      <c r="C12" s="444"/>
      <c r="D12" s="445"/>
      <c r="E12" s="275"/>
    </row>
    <row r="13" customFormat="false" ht="15" hidden="false" customHeight="true" outlineLevel="0" collapsed="false">
      <c r="A13" s="435" t="s">
        <v>407</v>
      </c>
      <c r="B13" s="446" t="s">
        <v>408</v>
      </c>
      <c r="C13" s="447" t="s">
        <v>409</v>
      </c>
      <c r="D13" s="447"/>
      <c r="E13" s="275"/>
    </row>
    <row r="14" customFormat="false" ht="15" hidden="false" customHeight="true" outlineLevel="0" collapsed="false">
      <c r="A14" s="435" t="s">
        <v>410</v>
      </c>
      <c r="B14" s="448"/>
      <c r="C14" s="448"/>
      <c r="D14" s="448"/>
      <c r="E14" s="275"/>
    </row>
    <row r="15" customFormat="false" ht="15" hidden="false" customHeight="true" outlineLevel="0" collapsed="false">
      <c r="A15" s="439" t="s">
        <v>411</v>
      </c>
      <c r="B15" s="436" t="s">
        <v>412</v>
      </c>
      <c r="C15" s="447" t="n">
        <f aca="false">+'Plan Financement'!B19</f>
        <v>36</v>
      </c>
      <c r="D15" s="447"/>
      <c r="E15" s="275"/>
    </row>
    <row r="16" customFormat="false" ht="15" hidden="false" customHeight="true" outlineLevel="0" collapsed="false">
      <c r="A16" s="439" t="s">
        <v>413</v>
      </c>
      <c r="B16" s="436" t="s">
        <v>414</v>
      </c>
      <c r="C16" s="449" t="n">
        <f aca="false">+'Plan Financement'!B20</f>
        <v>0.08</v>
      </c>
      <c r="D16" s="449"/>
      <c r="E16" s="275"/>
    </row>
    <row r="17" customFormat="false" ht="15" hidden="false" customHeight="true" outlineLevel="0" collapsed="false">
      <c r="A17" s="439"/>
      <c r="B17" s="436" t="s">
        <v>415</v>
      </c>
      <c r="C17" s="447"/>
      <c r="D17" s="447"/>
      <c r="E17" s="275"/>
    </row>
    <row r="18" customFormat="false" ht="15" hidden="false" customHeight="true" outlineLevel="0" collapsed="false">
      <c r="A18" s="442" t="s">
        <v>416</v>
      </c>
      <c r="B18" s="443"/>
      <c r="C18" s="444"/>
      <c r="D18" s="445"/>
      <c r="E18" s="275"/>
    </row>
    <row r="19" customFormat="false" ht="15" hidden="false" customHeight="true" outlineLevel="0" collapsed="false">
      <c r="A19" s="450" t="s">
        <v>417</v>
      </c>
      <c r="B19" s="451" t="s">
        <v>418</v>
      </c>
      <c r="C19" s="452"/>
      <c r="D19" s="453" t="s">
        <v>361</v>
      </c>
      <c r="E19" s="275"/>
    </row>
    <row r="20" customFormat="false" ht="16.5" hidden="false" customHeight="true" outlineLevel="0" collapsed="false">
      <c r="A20" s="454" t="s">
        <v>419</v>
      </c>
      <c r="B20" s="436" t="s">
        <v>420</v>
      </c>
      <c r="C20" s="455" t="n">
        <f aca="false">+'Eléments du compte d''exploitati'!B12</f>
        <v>6000000</v>
      </c>
      <c r="D20" s="453" t="s">
        <v>361</v>
      </c>
      <c r="E20" s="275"/>
    </row>
    <row r="21" customFormat="false" ht="16.5" hidden="false" customHeight="true" outlineLevel="0" collapsed="false">
      <c r="A21" s="454"/>
      <c r="B21" s="436" t="s">
        <v>421</v>
      </c>
      <c r="C21" s="455" t="n">
        <f aca="false">+'Eléments du compte d''exploitati'!C12</f>
        <v>6120000</v>
      </c>
      <c r="D21" s="453" t="s">
        <v>361</v>
      </c>
      <c r="E21" s="275"/>
    </row>
    <row r="22" customFormat="false" ht="16.5" hidden="false" customHeight="true" outlineLevel="0" collapsed="false">
      <c r="A22" s="454"/>
      <c r="B22" s="436" t="s">
        <v>422</v>
      </c>
      <c r="C22" s="455" t="n">
        <f aca="false">+'Eléments du compte d''exploitati'!D12</f>
        <v>6242400</v>
      </c>
      <c r="D22" s="453" t="s">
        <v>361</v>
      </c>
      <c r="E22" s="275"/>
    </row>
    <row r="23" customFormat="false" ht="16.5" hidden="false" customHeight="true" outlineLevel="0" collapsed="false">
      <c r="A23" s="454" t="s">
        <v>423</v>
      </c>
      <c r="B23" s="436" t="s">
        <v>420</v>
      </c>
      <c r="C23" s="455" t="n">
        <f aca="false">+'Compte d''exploitation'!B20</f>
        <v>983174.242424242</v>
      </c>
      <c r="D23" s="453" t="s">
        <v>361</v>
      </c>
      <c r="E23" s="275"/>
    </row>
    <row r="24" customFormat="false" ht="16.5" hidden="false" customHeight="true" outlineLevel="0" collapsed="false">
      <c r="A24" s="454"/>
      <c r="B24" s="436" t="s">
        <v>421</v>
      </c>
      <c r="C24" s="455" t="n">
        <f aca="false">+'Compte d''exploitation'!C20</f>
        <v>1067206.06060606</v>
      </c>
      <c r="D24" s="453" t="s">
        <v>361</v>
      </c>
      <c r="E24" s="275"/>
    </row>
    <row r="25" customFormat="false" ht="16.5" hidden="false" customHeight="true" outlineLevel="0" collapsed="false">
      <c r="A25" s="454"/>
      <c r="B25" s="436" t="s">
        <v>422</v>
      </c>
      <c r="C25" s="455" t="n">
        <f aca="false">+'Compte d''exploitation'!D20</f>
        <v>1242705.6969697</v>
      </c>
      <c r="D25" s="453" t="s">
        <v>361</v>
      </c>
      <c r="E25" s="275"/>
    </row>
    <row r="26" customFormat="false" ht="16.5" hidden="false" customHeight="true" outlineLevel="0" collapsed="false">
      <c r="A26" s="454" t="s">
        <v>424</v>
      </c>
      <c r="B26" s="436" t="s">
        <v>420</v>
      </c>
      <c r="C26" s="455" t="n">
        <f aca="false">+'Compte d''exploitation'!B22</f>
        <v>1898090.90909091</v>
      </c>
      <c r="D26" s="453" t="s">
        <v>361</v>
      </c>
      <c r="E26" s="275"/>
    </row>
    <row r="27" customFormat="false" ht="16.5" hidden="false" customHeight="true" outlineLevel="0" collapsed="false">
      <c r="A27" s="454"/>
      <c r="B27" s="436" t="s">
        <v>421</v>
      </c>
      <c r="C27" s="455" t="n">
        <f aca="false">+'Compte d''exploitation'!C22</f>
        <v>1967122.72727273</v>
      </c>
      <c r="D27" s="453" t="s">
        <v>361</v>
      </c>
      <c r="E27" s="275"/>
    </row>
    <row r="28" customFormat="false" ht="16.5" hidden="false" customHeight="true" outlineLevel="0" collapsed="false">
      <c r="A28" s="454"/>
      <c r="B28" s="436" t="s">
        <v>422</v>
      </c>
      <c r="C28" s="455" t="n">
        <f aca="false">+'Compte d''exploitation'!D22</f>
        <v>2142622.36363636</v>
      </c>
      <c r="D28" s="453" t="s">
        <v>361</v>
      </c>
      <c r="E28" s="275"/>
    </row>
    <row r="29" customFormat="false" ht="15" hidden="false" customHeight="true" outlineLevel="0" collapsed="false">
      <c r="A29" s="442" t="s">
        <v>425</v>
      </c>
      <c r="B29" s="443"/>
      <c r="C29" s="444"/>
      <c r="D29" s="445"/>
      <c r="E29" s="275"/>
    </row>
    <row r="30" customFormat="false" ht="15" hidden="false" customHeight="true" outlineLevel="0" collapsed="false">
      <c r="A30" s="439" t="s">
        <v>426</v>
      </c>
      <c r="B30" s="436"/>
      <c r="C30" s="456" t="n">
        <f aca="false">+'Ratios d''analyse'!B29*100</f>
        <v>73.1541146586525</v>
      </c>
      <c r="D30" s="453" t="s">
        <v>121</v>
      </c>
      <c r="E30" s="275"/>
    </row>
    <row r="31" customFormat="false" ht="15" hidden="false" customHeight="true" outlineLevel="0" collapsed="false">
      <c r="A31" s="439" t="s">
        <v>427</v>
      </c>
      <c r="B31" s="436"/>
      <c r="C31" s="456" t="n">
        <f aca="false">+'Ratios d''analyse'!C17*100</f>
        <v>75.1980968858131</v>
      </c>
      <c r="D31" s="453" t="s">
        <v>121</v>
      </c>
      <c r="E31" s="275"/>
    </row>
    <row r="32" customFormat="false" ht="15" hidden="false" customHeight="true" outlineLevel="0" collapsed="false">
      <c r="A32" s="439" t="s">
        <v>428</v>
      </c>
      <c r="B32" s="436"/>
      <c r="C32" s="456" t="n">
        <f aca="false">+'Ratios d''analyse'!B31*100</f>
        <v>29.911451540849</v>
      </c>
      <c r="D32" s="453" t="s">
        <v>121</v>
      </c>
      <c r="E32" s="275"/>
    </row>
    <row r="33" customFormat="false" ht="15" hidden="false" customHeight="true" outlineLevel="0" collapsed="false">
      <c r="A33" s="439" t="s">
        <v>429</v>
      </c>
      <c r="B33" s="436" t="s">
        <v>430</v>
      </c>
      <c r="C33" s="438" t="str">
        <f aca="false">+'Ratios d''analyse'!C36</f>
        <v>2 an(s) et 6 mois</v>
      </c>
      <c r="D33" s="438"/>
      <c r="E33" s="275"/>
    </row>
    <row r="34" customFormat="false" ht="15" hidden="false" customHeight="true" outlineLevel="0" collapsed="false">
      <c r="A34" s="439"/>
      <c r="B34" s="436" t="s">
        <v>431</v>
      </c>
      <c r="C34" s="438" t="str">
        <f aca="false">+'Ratios d''analyse'!C37</f>
        <v>2 an(s) et 11 mois</v>
      </c>
      <c r="D34" s="438"/>
      <c r="E34" s="275"/>
    </row>
    <row r="35" customFormat="false" ht="15" hidden="false" customHeight="true" outlineLevel="0" collapsed="false">
      <c r="A35" s="442" t="s">
        <v>432</v>
      </c>
      <c r="B35" s="443"/>
      <c r="C35" s="444"/>
      <c r="D35" s="445"/>
      <c r="E35" s="275"/>
    </row>
    <row r="36" customFormat="false" ht="15" hidden="false" customHeight="true" outlineLevel="0" collapsed="false">
      <c r="A36" s="442" t="s">
        <v>433</v>
      </c>
      <c r="B36" s="443"/>
      <c r="C36" s="444"/>
      <c r="D36" s="445"/>
      <c r="E36" s="275"/>
    </row>
    <row r="37" customFormat="false" ht="15" hidden="false" customHeight="true" outlineLevel="0" collapsed="false">
      <c r="A37" s="439" t="s">
        <v>434</v>
      </c>
      <c r="B37" s="436" t="s">
        <v>435</v>
      </c>
      <c r="C37" s="457" t="s">
        <v>436</v>
      </c>
      <c r="D37" s="453" t="s">
        <v>437</v>
      </c>
      <c r="E37" s="275"/>
    </row>
    <row r="38" customFormat="false" ht="15" hidden="false" customHeight="true" outlineLevel="0" collapsed="false">
      <c r="A38" s="439"/>
      <c r="B38" s="436" t="s">
        <v>74</v>
      </c>
      <c r="C38" s="456" t="n">
        <f aca="false">+'Hypothèse de base'!B38</f>
        <v>2</v>
      </c>
      <c r="D38" s="438" t="n">
        <f aca="false">+'Hypothèse de base'!C38</f>
        <v>0</v>
      </c>
      <c r="E38" s="275"/>
    </row>
    <row r="39" customFormat="false" ht="15.75" hidden="false" customHeight="true" outlineLevel="0" collapsed="false">
      <c r="A39" s="439"/>
      <c r="B39" s="458" t="s">
        <v>75</v>
      </c>
      <c r="C39" s="459" t="n">
        <f aca="false">+'Hypothèse de base'!D38</f>
        <v>3</v>
      </c>
      <c r="D39" s="460" t="n">
        <f aca="false">+'Hypothèse de base'!E38</f>
        <v>0</v>
      </c>
      <c r="E39" s="275"/>
    </row>
    <row r="40" customFormat="false" ht="15" hidden="false" customHeight="true" outlineLevel="0" collapsed="false">
      <c r="A40" s="275"/>
      <c r="B40" s="275"/>
      <c r="C40" s="277"/>
      <c r="D40" s="277"/>
      <c r="E40" s="275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1" t="s">
        <v>438</v>
      </c>
      <c r="B2" s="461"/>
      <c r="C2" s="461" t="s">
        <v>439</v>
      </c>
      <c r="D2" s="461"/>
      <c r="E2" s="461"/>
      <c r="F2" s="461"/>
    </row>
    <row r="3" customFormat="false" ht="32.25" hidden="false" customHeight="true" outlineLevel="0" collapsed="false">
      <c r="A3" s="462" t="s">
        <v>440</v>
      </c>
      <c r="B3" s="463" t="s">
        <v>441</v>
      </c>
      <c r="C3" s="464" t="s">
        <v>247</v>
      </c>
      <c r="D3" s="463" t="s">
        <v>121</v>
      </c>
      <c r="E3" s="464" t="s">
        <v>442</v>
      </c>
      <c r="F3" s="465" t="s">
        <v>121</v>
      </c>
    </row>
    <row r="4" customFormat="false" ht="18.75" hidden="false" customHeight="true" outlineLevel="0" collapsed="false">
      <c r="A4" s="466" t="s">
        <v>122</v>
      </c>
      <c r="B4" s="467" t="n">
        <f aca="false">+SUM(B5:B10)</f>
        <v>900000</v>
      </c>
      <c r="C4" s="468" t="n">
        <f aca="false">+B4</f>
        <v>900000</v>
      </c>
      <c r="D4" s="469" t="n">
        <f aca="false">+C4/$B$25</f>
        <v>0.0638297872340426</v>
      </c>
      <c r="E4" s="470"/>
      <c r="F4" s="471"/>
    </row>
    <row r="5" customFormat="false" ht="15.75" hidden="false" customHeight="true" outlineLevel="0" collapsed="false">
      <c r="A5" s="472" t="s">
        <v>443</v>
      </c>
      <c r="B5" s="473" t="n">
        <v>150000</v>
      </c>
      <c r="C5" s="474"/>
      <c r="D5" s="474"/>
      <c r="E5" s="474"/>
      <c r="F5" s="475"/>
    </row>
    <row r="6" customFormat="false" ht="15.75" hidden="false" customHeight="true" outlineLevel="0" collapsed="false">
      <c r="A6" s="472" t="s">
        <v>444</v>
      </c>
      <c r="B6" s="473" t="n">
        <v>150000</v>
      </c>
      <c r="C6" s="474"/>
      <c r="D6" s="474"/>
      <c r="E6" s="474"/>
      <c r="F6" s="475"/>
    </row>
    <row r="7" customFormat="false" ht="15.75" hidden="false" customHeight="true" outlineLevel="0" collapsed="false">
      <c r="A7" s="472" t="s">
        <v>445</v>
      </c>
      <c r="B7" s="473" t="n">
        <v>150000</v>
      </c>
      <c r="C7" s="474"/>
      <c r="D7" s="474"/>
      <c r="E7" s="474"/>
      <c r="F7" s="475"/>
    </row>
    <row r="8" customFormat="false" ht="15.75" hidden="false" customHeight="true" outlineLevel="0" collapsed="false">
      <c r="A8" s="472" t="s">
        <v>126</v>
      </c>
      <c r="B8" s="473" t="n">
        <v>150000</v>
      </c>
      <c r="C8" s="474"/>
      <c r="D8" s="474"/>
      <c r="E8" s="474"/>
      <c r="F8" s="475"/>
    </row>
    <row r="9" customFormat="false" ht="15.75" hidden="false" customHeight="true" outlineLevel="0" collapsed="false">
      <c r="A9" s="472" t="s">
        <v>127</v>
      </c>
      <c r="B9" s="473" t="n">
        <v>150000</v>
      </c>
      <c r="C9" s="474"/>
      <c r="D9" s="474"/>
      <c r="E9" s="474"/>
      <c r="F9" s="475"/>
    </row>
    <row r="10" customFormat="false" ht="16.5" hidden="false" customHeight="true" outlineLevel="0" collapsed="false">
      <c r="A10" s="476" t="s">
        <v>128</v>
      </c>
      <c r="B10" s="473" t="n">
        <v>150000</v>
      </c>
      <c r="C10" s="474"/>
      <c r="D10" s="474"/>
      <c r="E10" s="474"/>
      <c r="F10" s="475"/>
    </row>
    <row r="11" customFormat="false" ht="18.75" hidden="false" customHeight="true" outlineLevel="0" collapsed="false">
      <c r="A11" s="477" t="s">
        <v>129</v>
      </c>
      <c r="B11" s="478" t="n">
        <f aca="false">+SUM(B12:B17)</f>
        <v>12000000</v>
      </c>
      <c r="C11" s="479"/>
      <c r="D11" s="479"/>
      <c r="E11" s="480" t="n">
        <f aca="false">+B11</f>
        <v>12000000</v>
      </c>
      <c r="F11" s="481" t="n">
        <f aca="false">+E11/$B$25</f>
        <v>0.851063829787234</v>
      </c>
    </row>
    <row r="12" customFormat="false" ht="15.75" hidden="false" customHeight="true" outlineLevel="0" collapsed="false">
      <c r="A12" s="472" t="s">
        <v>446</v>
      </c>
      <c r="B12" s="473" t="n">
        <v>5000000</v>
      </c>
      <c r="C12" s="474"/>
      <c r="D12" s="474"/>
      <c r="E12" s="474"/>
      <c r="F12" s="475"/>
    </row>
    <row r="13" customFormat="false" ht="15.75" hidden="false" customHeight="true" outlineLevel="0" collapsed="false">
      <c r="A13" s="472" t="s">
        <v>447</v>
      </c>
      <c r="B13" s="473" t="n">
        <v>5000000</v>
      </c>
      <c r="C13" s="474"/>
      <c r="D13" s="474"/>
      <c r="E13" s="474"/>
      <c r="F13" s="475"/>
    </row>
    <row r="14" customFormat="false" ht="15.75" hidden="false" customHeight="true" outlineLevel="0" collapsed="false">
      <c r="A14" s="472" t="s">
        <v>448</v>
      </c>
      <c r="B14" s="473" t="n">
        <v>500000</v>
      </c>
      <c r="C14" s="474"/>
      <c r="D14" s="474"/>
      <c r="E14" s="474"/>
      <c r="F14" s="475"/>
    </row>
    <row r="15" customFormat="false" ht="15.75" hidden="false" customHeight="true" outlineLevel="0" collapsed="false">
      <c r="A15" s="472" t="s">
        <v>449</v>
      </c>
      <c r="B15" s="473" t="n">
        <v>500000</v>
      </c>
      <c r="C15" s="474"/>
      <c r="D15" s="474"/>
      <c r="E15" s="474"/>
      <c r="F15" s="475"/>
    </row>
    <row r="16" customFormat="false" ht="15.75" hidden="false" customHeight="true" outlineLevel="0" collapsed="false">
      <c r="A16" s="472" t="s">
        <v>450</v>
      </c>
      <c r="B16" s="473" t="n">
        <v>500000</v>
      </c>
      <c r="C16" s="474"/>
      <c r="D16" s="474"/>
      <c r="E16" s="474"/>
      <c r="F16" s="475"/>
    </row>
    <row r="17" customFormat="false" ht="15.75" hidden="false" customHeight="true" outlineLevel="0" collapsed="false">
      <c r="A17" s="472" t="s">
        <v>451</v>
      </c>
      <c r="B17" s="473" t="n">
        <v>500000</v>
      </c>
      <c r="C17" s="474"/>
      <c r="D17" s="474"/>
      <c r="E17" s="474"/>
      <c r="F17" s="475"/>
    </row>
    <row r="18" customFormat="false" ht="16.5" hidden="false" customHeight="true" outlineLevel="0" collapsed="false">
      <c r="A18" s="476" t="s">
        <v>128</v>
      </c>
      <c r="B18" s="473" t="n">
        <v>500000</v>
      </c>
      <c r="C18" s="474"/>
      <c r="D18" s="474"/>
      <c r="E18" s="474"/>
      <c r="F18" s="475"/>
    </row>
    <row r="19" customFormat="false" ht="18.75" hidden="false" customHeight="true" outlineLevel="0" collapsed="false">
      <c r="A19" s="477" t="s">
        <v>132</v>
      </c>
      <c r="B19" s="478" t="n">
        <f aca="false">+SUM(B20:B24)</f>
        <v>1200000</v>
      </c>
      <c r="C19" s="480" t="n">
        <f aca="false">+B19</f>
        <v>1200000</v>
      </c>
      <c r="D19" s="469" t="n">
        <f aca="false">+C19/$B$25</f>
        <v>0.0851063829787234</v>
      </c>
      <c r="E19" s="479"/>
      <c r="F19" s="482"/>
    </row>
    <row r="20" customFormat="false" ht="15.75" hidden="false" customHeight="true" outlineLevel="0" collapsed="false">
      <c r="A20" s="472" t="s">
        <v>452</v>
      </c>
      <c r="B20" s="473" t="n">
        <v>250000</v>
      </c>
      <c r="C20" s="474"/>
      <c r="D20" s="474"/>
      <c r="E20" s="474"/>
      <c r="F20" s="483"/>
    </row>
    <row r="21" customFormat="false" ht="15.75" hidden="false" customHeight="true" outlineLevel="0" collapsed="false">
      <c r="A21" s="472" t="s">
        <v>453</v>
      </c>
      <c r="B21" s="473" t="n">
        <v>250000</v>
      </c>
      <c r="C21" s="474"/>
      <c r="D21" s="474"/>
      <c r="E21" s="474"/>
      <c r="F21" s="483"/>
    </row>
    <row r="22" customFormat="false" ht="15.75" hidden="false" customHeight="true" outlineLevel="0" collapsed="false">
      <c r="A22" s="472" t="s">
        <v>454</v>
      </c>
      <c r="B22" s="473" t="n">
        <v>250000</v>
      </c>
      <c r="C22" s="474"/>
      <c r="D22" s="474"/>
      <c r="E22" s="474"/>
      <c r="F22" s="483"/>
    </row>
    <row r="23" customFormat="false" ht="15.75" hidden="false" customHeight="true" outlineLevel="0" collapsed="false">
      <c r="A23" s="472" t="s">
        <v>455</v>
      </c>
      <c r="B23" s="473" t="n">
        <v>450000</v>
      </c>
      <c r="C23" s="474"/>
      <c r="D23" s="474"/>
      <c r="E23" s="474"/>
      <c r="F23" s="483"/>
    </row>
    <row r="24" customFormat="false" ht="15.75" hidden="false" customHeight="true" outlineLevel="0" collapsed="false">
      <c r="A24" s="472"/>
      <c r="B24" s="484"/>
      <c r="C24" s="485"/>
      <c r="D24" s="485"/>
      <c r="E24" s="485"/>
      <c r="F24" s="486"/>
    </row>
    <row r="25" customFormat="false" ht="24.75" hidden="false" customHeight="true" outlineLevel="0" collapsed="false">
      <c r="A25" s="487" t="s">
        <v>90</v>
      </c>
      <c r="B25" s="488" t="n">
        <f aca="false">+B19+B11+B4</f>
        <v>14100000</v>
      </c>
      <c r="C25" s="488" t="n">
        <f aca="false">+C19+C11+C4</f>
        <v>2100000</v>
      </c>
      <c r="D25" s="489" t="n">
        <f aca="false">+D19+D11+D4</f>
        <v>0.148936170212766</v>
      </c>
      <c r="E25" s="488" t="n">
        <f aca="false">+E19+E11+E4</f>
        <v>12000000</v>
      </c>
      <c r="F25" s="490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