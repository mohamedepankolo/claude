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comments4.xml" ContentType="application/vnd.openxmlformats-officedocument.spreadsheetml.comments+xml"/>
  <Override PartName="/xl/comments14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3.xml" ContentType="application/vnd.openxmlformats-officedocument.spreadsheetml.comment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Notes de correction" sheetId="1" state="visible" r:id="rId3"/>
    <sheet name="Hypothèse de base" sheetId="2" state="visible" r:id="rId4"/>
    <sheet name="Coût du projet" sheetId="3" state="visible" r:id="rId5"/>
    <sheet name="Plan Financement" sheetId="4" state="visible" r:id="rId6"/>
    <sheet name="Feuil3" sheetId="5" state="hidden" r:id="rId7"/>
    <sheet name="Eléments du compte d'exploitati" sheetId="6" state="visible" r:id="rId8"/>
    <sheet name="Echéancier Prêt" sheetId="7" state="visible" r:id="rId9"/>
    <sheet name="Compte d'exploitation" sheetId="8" state="visible" r:id="rId10"/>
    <sheet name="Compte de tresorerie" sheetId="9" state="visible" r:id="rId11"/>
    <sheet name="Bilan" sheetId="10" state="visible" r:id="rId12"/>
    <sheet name="Ratios d'analyse" sheetId="11" state="visible" r:id="rId13"/>
    <sheet name="PLAN DE TRESORERIE" sheetId="12" state="visible" r:id="rId14"/>
    <sheet name="COMPTE D'EXPLOITATION MENSUEL" sheetId="13" state="visible" r:id="rId15"/>
    <sheet name="Fiche Signalétique" sheetId="14" state="visible" r:id="rId16"/>
    <sheet name="Feuil1" sheetId="15" state="hidden" r:id="rId1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106" authorId="0">
      <text>
        <r>
          <rPr>
            <sz val="10"/>
            <rFont val="Arial"/>
            <family val="2"/>
          </rPr>
          <t xml:space="preserve">CORRECTION (revue APEJ) : le prix initial de 2 000 FCFA/kg était hors marché pour de la pasteque en gros (proche du prix de comparaison Piment du document, probable copier-coller). Valeur remplacee par 150 FCFA/kg, coherente avec une reference technico-economique regionale (fiche pasteque saison seche, Dosso/Niger 2017 : ~162 FCFA/kg de gros). A confirmer avec une enquete de prix sur le marche de Bancoumana/Bamako avant decaissement.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5" authorId="0">
      <text>
        <r>
          <rPr>
            <sz val="10"/>
            <rFont val="Arial"/>
            <family val="2"/>
          </rPr>
          <t xml:space="preserve">Evaluer le montant et le mettre en indiquant la période</t>
        </r>
      </text>
    </comment>
    <comment ref="F41" authorId="0">
      <text>
        <r>
          <rPr>
            <sz val="10"/>
            <rFont val="Arial"/>
            <family val="2"/>
          </rPr>
          <t xml:space="preserve">Mettre le nombre de mois couvert par les matières premières</t>
        </r>
      </text>
    </comment>
    <comment ref="F42" authorId="0">
      <text>
        <r>
          <rPr>
            <sz val="10"/>
            <rFont val="Arial"/>
            <family val="2"/>
          </rPr>
          <t xml:space="preserve">Mettre le nombre de mois couvert par les autres matières premières</t>
        </r>
      </text>
    </comment>
    <comment ref="F43" authorId="0">
      <text>
        <r>
          <rPr>
            <sz val="10"/>
            <rFont val="Arial"/>
            <family val="2"/>
          </rPr>
          <t xml:space="preserve">Mettre le nombre de mois couvert par le frais de personnel</t>
        </r>
      </text>
    </comment>
    <comment ref="F44" authorId="0">
      <text>
        <r>
          <rPr>
            <sz val="10"/>
            <rFont val="Arial"/>
            <family val="2"/>
          </rPr>
          <t xml:space="preserve">Mettre le nombre de mois couvert par le Frais généraux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9" authorId="0">
      <text>
        <r>
          <rPr>
            <sz val="10"/>
            <rFont val="Arial"/>
            <family val="2"/>
          </rPr>
          <t xml:space="preserve">A renseigner par le porteur et facilitateur</t>
        </r>
      </text>
    </comment>
    <comment ref="B21" authorId="0">
      <text>
        <r>
          <rPr>
            <sz val="10"/>
            <rFont val="Arial"/>
            <family val="2"/>
          </rPr>
          <t xml:space="preserve">A renseigner par le porteur et facilitateur</t>
        </r>
      </text>
    </comment>
    <comment ref="B22" authorId="0">
      <text>
        <r>
          <rPr>
            <sz val="10"/>
            <rFont val="Arial"/>
            <family val="2"/>
          </rPr>
          <t xml:space="preserve">A renseigner par le porteur et facilitateur</t>
        </r>
      </text>
    </comment>
    <comment ref="E2" authorId="0">
      <text>
        <r>
          <rPr>
            <sz val="10"/>
            <rFont val="Arial"/>
            <family val="2"/>
          </rPr>
          <t xml:space="preserve">Liste déroulante "Homme, Femme ou Situat avant CS"</t>
        </r>
      </text>
    </comment>
    <comment ref="E3" authorId="0">
      <text>
        <r>
          <rPr>
            <sz val="10"/>
            <rFont val="Arial"/>
            <family val="2"/>
          </rPr>
          <t xml:space="preserve">Liste déroulante "Type Entrepise/projet"</t>
        </r>
      </text>
    </comment>
    <comment ref="E4" authorId="0">
      <text>
        <r>
          <rPr>
            <sz val="10"/>
            <rFont val="Arial"/>
            <family val="2"/>
          </rPr>
          <t xml:space="preserve">Liste déroulante "Type Entrepise/projet"</t>
        </r>
      </text>
    </comment>
    <comment ref="G3" authorId="0">
      <text>
        <r>
          <rPr>
            <sz val="10"/>
            <rFont val="Arial"/>
            <family val="2"/>
          </rPr>
          <t xml:space="preserve">Liste dérourante "Oui ou Non"</t>
        </r>
      </text>
    </comment>
    <comment ref="G4" authorId="0">
      <text>
        <r>
          <rPr>
            <sz val="10"/>
            <rFont val="Arial"/>
            <family val="2"/>
          </rPr>
          <t xml:space="preserve">Liste dérourante "Oui ou Non"</t>
        </r>
      </text>
    </comment>
    <comment ref="G7" authorId="0">
      <text>
        <r>
          <rPr>
            <sz val="10"/>
            <rFont val="Arial"/>
            <family val="2"/>
          </rPr>
          <t xml:space="preserve">Liste dérourante "Oui ou Non"</t>
        </r>
      </text>
    </comment>
    <comment ref="H2" authorId="0">
      <text>
        <r>
          <rPr>
            <sz val="10"/>
            <rFont val="Arial"/>
            <family val="2"/>
          </rPr>
          <t xml:space="preserve">Projet VERT : Mettre le taux correspondant si l'apport personnel est supérieur à 5% (cas si le Jeune apporté plus que les 5%)</t>
        </r>
      </text>
    </comment>
    <comment ref="H5" authorId="0">
      <text>
        <r>
          <rPr>
            <sz val="10"/>
            <rFont val="Arial"/>
            <family val="2"/>
          </rPr>
          <t xml:space="preserve">Projet VERT : Mettre le taux correspondant si le prêt demandé est inférieur à 25%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7" authorId="0">
      <text>
        <r>
          <rPr>
            <sz val="10"/>
            <rFont val="Arial"/>
            <family val="2"/>
          </rPr>
          <t xml:space="preserve">Mettre le montant de l'impôt concerné</t>
        </r>
      </text>
    </comment>
    <comment ref="B54" authorId="0">
      <text>
        <r>
          <rPr>
            <sz val="10"/>
            <rFont val="Arial"/>
            <family val="2"/>
          </rPr>
          <t xml:space="preserve">A renseigner si d'application</t>
        </r>
      </text>
    </comment>
    <comment ref="B55" authorId="0">
      <text>
        <r>
          <rPr>
            <sz val="10"/>
            <rFont val="Arial"/>
            <family val="2"/>
          </rPr>
          <t xml:space="preserve">A renseigner si d'application</t>
        </r>
      </text>
    </comment>
    <comment ref="B56" authorId="0">
      <text>
        <r>
          <rPr>
            <sz val="10"/>
            <rFont val="Arial"/>
            <family val="2"/>
          </rPr>
          <t xml:space="preserve">A renseigner si d'application</t>
        </r>
      </text>
    </comment>
    <comment ref="C65" authorId="0">
      <text>
        <r>
          <rPr>
            <sz val="10"/>
            <rFont val="Arial"/>
            <family val="2"/>
          </rPr>
          <t xml:space="preserve">Mettre le taux indiqué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8" authorId="0">
      <text>
        <r>
          <rPr>
            <sz val="10"/>
            <rFont val="Arial"/>
            <family val="2"/>
          </rPr>
          <t xml:space="preserve">Calculer si d'application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2" authorId="0">
      <text>
        <r>
          <rPr>
            <sz val="10"/>
            <rFont val="Arial"/>
            <family val="2"/>
          </rPr>
          <t xml:space="preserve">Insérer le montant des anciens équipements</t>
        </r>
      </text>
    </comment>
    <comment ref="F52" authorId="0">
      <text>
        <r>
          <rPr>
            <sz val="10"/>
            <rFont val="Arial"/>
            <family val="2"/>
          </rPr>
          <t xml:space="preserve">Vérification = cette cellule doit toujours être égale à 0</t>
        </r>
      </text>
    </comment>
  </commentList>
</comments>
</file>

<file path=xl/comments1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4" authorId="0">
      <text>
        <r>
          <rPr>
            <sz val="10"/>
            <rFont val="Arial"/>
            <family val="2"/>
          </rPr>
          <t xml:space="preserve">Insérer le compte bancaire du Jeune</t>
        </r>
      </text>
    </comment>
    <comment ref="C19" authorId="0">
      <text>
        <r>
          <rPr>
            <sz val="10"/>
            <rFont val="Arial"/>
            <family val="2"/>
          </rPr>
          <t xml:space="preserve">Insérer le Chiffre d'affaires de référence pour les Entreprises en croissance</t>
        </r>
      </text>
    </comment>
  </commentList>
</comments>
</file>

<file path=xl/sharedStrings.xml><?xml version="1.0" encoding="utf-8"?>
<sst xmlns="http://schemas.openxmlformats.org/spreadsheetml/2006/main" count="685" uniqueCount="479">
  <si>
    <t xml:space="preserve">NOTES DE CORRECTION — Plan d'affaires Ibrahima KOÏTA (IK-FERME)</t>
  </si>
  <si>
    <t xml:space="preserve">Revue technique APEJ — corrections apportées au fichier Excel original avant observation. Document préparé pour Diakaridia Curtis (Département Financement et Garantie).</t>
  </si>
  <si>
    <t xml:space="preserve">#</t>
  </si>
  <si>
    <t xml:space="preserve">Emplacement (feuille!cellule)</t>
  </si>
  <si>
    <t xml:space="preserve">Problème identifié dans l'original</t>
  </si>
  <si>
    <t xml:space="preserve">Correction apportée</t>
  </si>
  <si>
    <t xml:space="preserve">Justification / source</t>
  </si>
  <si>
    <t xml:space="preserve">Impact</t>
  </si>
  <si>
    <t xml:space="preserve">Hypothèse de base!H106</t>
  </si>
  <si>
    <t xml:space="preserve">Prix de vente pastèque fixé à 2 000 FCFA/kg — hors marché (le tableau de comparaison concurrents du document liste un prix "Piment" à 2 300 FCFA/kg à la place de la pastèque, signe d'un copier-coller non corrigé). Ce prix générait 44 000 000 FCFA sur les 49 000 000 FCFA de CA annoncé.</t>
  </si>
  <si>
    <t xml:space="preserve">Prix ramené à 150 FCFA/kg.</t>
  </si>
  <si>
    <t xml:space="preserve">Fiche technico-économique pastèque saison sèche, Chambre Régionale d'Agriculture de Dosso (Niger, 2017) : rendement 11 t/ha, produit brut 1 785 000 FCFA, soit ~162 FCFA/kg de gros. Mali/Niger = zones sahéliennes comparables. A CONFIRMER par une enquête de prix locale à Bancoumana/Bamako avant décaissement.</t>
  </si>
  <si>
    <t xml:space="preserve">CA an1 : 49 000 000 → 8 300 000 FCFA. Tous les ratios de rentabilité en aval recalculés en cascade.</t>
  </si>
  <si>
    <t xml:space="preserve">Bilan!A22 / B22</t>
  </si>
  <si>
    <t xml:space="preserve">Le "Bassin 40m³" (250 000 FCFA), budgété dans le coût du projet, était absent de la liste des immobilisations du bilan de départ (erreur de référence dans le modèle : la case pointait vers une ligne vide au lieu du Bassin). Le même montant de 250 000 FCFA réapparaissait comme "Banques, caisse" fictive, calculée par une formule d'équilibrage (bouche-trou).</t>
  </si>
  <si>
    <t xml:space="preserve">La cellule pointe désormais vers le Bassin 40m³ (Coût du projet!A24/B24) au lieu de la ligne vide.</t>
  </si>
  <si>
    <t xml:space="preserve">Vérification croisée avec la feuille "Coût du projet", qui inclut correctement le Bassin dans les 6 780 000 FCFA de frais d'investissement.</t>
  </si>
  <si>
    <t xml:space="preserve">Actif immobilisé : 6 538 000 → 6 788 000 FCFA. Trésorerie fictive "Banques, caisse" : 250 000 → 0 FCFA. Le bilan reste équilibré à 6 968 000 FCFA.</t>
  </si>
  <si>
    <t xml:space="preserve">Compte d'exploitation!C23:F23</t>
  </si>
  <si>
    <t xml:space="preserve">Ligne "CAF CUMULÉE" ne cumulait pas : chaque cellule répétait simplement la CAF de l'année, sans addition avec les années précédentes.</t>
  </si>
  <si>
    <t xml:space="preserve">Formules corrigées en cumul réel : C23=C22+B23, D23=D22+C23, etc.</t>
  </si>
  <si>
    <t xml:space="preserve">Cohérence arithmétique élémentaire d'un cumul.</t>
  </si>
  <si>
    <t xml:space="preserve">La ligne CAF CUMULÉE reflète maintenant un vrai cumul (utile pour le suivi de trésorerie).</t>
  </si>
  <si>
    <t xml:space="preserve">Compte de tresorerie!D27 (TRI)</t>
  </si>
  <si>
    <t xml:space="preserve">La formule "TRI" n'était pas un taux de rentabilité interne : =B18/F25*A24 (investissement ÷ ressources année 5 × taux d'actualisation). Résultat affiché : 1 %, sans lien avec un vrai calcul de TRI.</t>
  </si>
  <si>
    <t xml:space="preserve">Remplacée par un vrai calcul : =IRR(A25:F25), appliqué à la série de flux (investissement initial puis CAF annuelle, indépendamment du financement).</t>
  </si>
  <si>
    <t xml:space="preserve">Fonction IRR standard (calcul itératif du taux d'actualisation qui annule la VAN).</t>
  </si>
  <si>
    <t xml:space="preserve">TRI corrigé : 1 % → 45,5 %. Cohérent avec la VAN positive et le délai de récupération d'environ 2 ans.</t>
  </si>
  <si>
    <t xml:space="preserve">Compte de tresorerie!B25:F25 et B34:F34</t>
  </si>
  <si>
    <t xml:space="preserve">Les flux utilisés pour le TRI, la VAN et le délai de récupération étaient les "Ressources totales" brutes (apport + crédit + CAF), sans déduire le remboursement du crédit. Cela mélangeait rentabilité économique et effet du financement, et gonflait artificiellement la VAN.</t>
  </si>
  <si>
    <t xml:space="preserve">Flux remplacés par la CAF nette (Compte d'exploitation!B22:F22) : les ratios mesurent la rentabilité du projet indépendamment de la structure de financement, conformément à la pratique standard.</t>
  </si>
  <si>
    <t xml:space="preserve">Principe standard d'évaluation de projet : le TRI/VAN économique se calcule sur les flux d'exploitation (CAF), pas sur les flux de trésorerie de financement.</t>
  </si>
  <si>
    <t xml:space="preserve">Voir points 4, 6 et 7 pour les impacts chiffrés.</t>
  </si>
  <si>
    <t xml:space="preserve">Compte de tresorerie!D29 (VAN)</t>
  </si>
  <si>
    <t xml:space="preserve">Formule =NPV(A24,A25:F25) : le flux de l'année 0 (investissement, cellule A25) était inclus dans la plage actualisée par NPV, qui actualise systématiquement le premier terme d'un an. L'investissement initial se retrouvait actualisé au lieu d'être pris à sa valeur pleine.</t>
  </si>
  <si>
    <t xml:space="preserve">Formule corrigée : =A25+NPV(A24,B25:F25) — l'investissement initial (année 0) n'est plus actualisé ; seules les CAF des années 1 à 5 le sont.</t>
  </si>
  <si>
    <t xml:space="preserve">Règle de calcul standard de la VAN (le flux à t=0 n'est jamais actualisé).</t>
  </si>
  <si>
    <t xml:space="preserve">VAN corrigée : 163 969 075 FCFA (calcul erroné, sur flux bruts) → 8 465 716 FCFA (calcul correct, sur CAF nette). Le projet reste rentable mais avec un ordre de grandeur réaliste.</t>
  </si>
  <si>
    <t xml:space="preserve">Compte de tresorerie!B38:B51 (nouveau) / Ratios d'analyse!C36:C37</t>
  </si>
  <si>
    <t xml:space="preserve">Le délai de récupération ("1 an 3 mois" sans actualisation, "1 an 5 mois 12 jours" avec actualisation) était un texte saisi manuellement, sans aucune formule de calcul derrière — incohérent avec les flux de trésorerie réels du dossier.</t>
  </si>
  <si>
    <t xml:space="preserve">Nouveau bloc de calcul ajouté (années pleines + interpolation mensuelle sur la CAF, avec et sans actualisation à 8 %). Les cellules de Ratios d'analyse pointent maintenant vers ces calculs.</t>
  </si>
  <si>
    <t xml:space="preserve">Méthode standard d'interpolation linéaire du délai de récupération sur flux de trésorerie cumulés.</t>
  </si>
  <si>
    <t xml:space="preserve">Délai recalculé : environ 2 ans (sans actualisation) et 2 ans 2 mois (avec actualisation à 8 %) — plausible compte tenu de l'investissement de 6 968 000 FCFA et d'une CAF annuelle de 3,5 à 4,3 M FCFA.</t>
  </si>
  <si>
    <t xml:space="preserve">Synthèse des ratios (avant / après correction)</t>
  </si>
  <si>
    <t xml:space="preserve">Indicateur</t>
  </si>
  <si>
    <t xml:space="preserve">Avant correction</t>
  </si>
  <si>
    <t xml:space="preserve">Après correction</t>
  </si>
  <si>
    <t xml:space="preserve">Chiffre d'affaires an 1 (FCFA)</t>
  </si>
  <si>
    <t xml:space="preserve">49 000 000</t>
  </si>
  <si>
    <t xml:space="preserve">8 300 000</t>
  </si>
  <si>
    <t xml:space="preserve">TRI</t>
  </si>
  <si>
    <t xml:space="preserve">1 % (formule erronée)</t>
  </si>
  <si>
    <t xml:space="preserve">45,5 %</t>
  </si>
  <si>
    <t xml:space="preserve">VAN à 8 % (FCFA)</t>
  </si>
  <si>
    <t xml:space="preserve">163 969 075 (méthode erronée)</t>
  </si>
  <si>
    <t xml:space="preserve">8 465 716</t>
  </si>
  <si>
    <t xml:space="preserve">Délai de récupération (sans actualisation)</t>
  </si>
  <si>
    <t xml:space="preserve">1 an 3 mois (texte non calculé)</t>
  </si>
  <si>
    <t xml:space="preserve">≈ 2 ans</t>
  </si>
  <si>
    <t xml:space="preserve">Délai de récupération (avec actualisation 8 %)</t>
  </si>
  <si>
    <t xml:space="preserve">1 an 5 mois 12 jours (texte non calculé)</t>
  </si>
  <si>
    <t xml:space="preserve">≈ 2 ans 2 mois</t>
  </si>
  <si>
    <t xml:space="preserve">Actif immobilisé au bilan (FCFA)</t>
  </si>
  <si>
    <t xml:space="preserve">6 538 000 (Bassin 40m³ omis)</t>
  </si>
  <si>
    <t xml:space="preserve">6 788 000</t>
  </si>
  <si>
    <t xml:space="preserve">Trésorerie "Banques, caisse" au bilan (FCFA)</t>
  </si>
  <si>
    <t xml:space="preserve">250 000 (solde fictif/bouche-trou)</t>
  </si>
  <si>
    <t xml:space="preserve">0</t>
  </si>
  <si>
    <t xml:space="preserve">HYPOTHESES DE BASE </t>
  </si>
  <si>
    <t xml:space="preserve">I. ACHAT DE MATIERES PREMIERES</t>
  </si>
  <si>
    <t xml:space="preserve">Désignation</t>
  </si>
  <si>
    <t xml:space="preserve">Unité</t>
  </si>
  <si>
    <t xml:space="preserve">Qté/jour</t>
  </si>
  <si>
    <t xml:space="preserve">Qté/Sme</t>
  </si>
  <si>
    <t xml:space="preserve">Qté/mois</t>
  </si>
  <si>
    <t xml:space="preserve">Qté/Trim </t>
  </si>
  <si>
    <t xml:space="preserve">Qté/an</t>
  </si>
  <si>
    <t xml:space="preserve">PU</t>
  </si>
  <si>
    <t xml:space="preserve">Montant</t>
  </si>
  <si>
    <t xml:space="preserve">Semence piment Avenir F1</t>
  </si>
  <si>
    <t xml:space="preserve">Boîte</t>
  </si>
  <si>
    <t xml:space="preserve">Fumure organique / compost</t>
  </si>
  <si>
    <t xml:space="preserve">Tonne</t>
  </si>
  <si>
    <t xml:space="preserve">NPK</t>
  </si>
  <si>
    <t xml:space="preserve">Sac</t>
  </si>
  <si>
    <t xml:space="preserve">Urée</t>
  </si>
  <si>
    <t xml:space="preserve">Produits de traitement</t>
  </si>
  <si>
    <t xml:space="preserve">Lot</t>
  </si>
  <si>
    <t xml:space="preserve">Engrais complémentaires</t>
  </si>
  <si>
    <t xml:space="preserve">TOTAL </t>
  </si>
  <si>
    <t xml:space="preserve">I. AUTRES CHATS DE MATIERES PREMIERES</t>
  </si>
  <si>
    <t xml:space="preserve">Carburant / énergie</t>
  </si>
  <si>
    <t xml:space="preserve">Forfait</t>
  </si>
  <si>
    <t xml:space="preserve">Emballages (sacs, caisses)</t>
  </si>
  <si>
    <t xml:space="preserve">Eau d'irrigation</t>
  </si>
  <si>
    <t xml:space="preserve">II. DONNEES PREVISIONNELLES SUR LES AUTRES CHARGES MENSUELLES</t>
  </si>
  <si>
    <t xml:space="preserve">2.1. FRAIS DE PERSONNEL</t>
  </si>
  <si>
    <t xml:space="preserve">Noms et Prénoms</t>
  </si>
  <si>
    <t xml:space="preserve">Permanent</t>
  </si>
  <si>
    <t xml:space="preserve">Temporaire</t>
  </si>
  <si>
    <t xml:space="preserve">Salaire mensuel</t>
  </si>
  <si>
    <t xml:space="preserve">Nbre de mois/an</t>
  </si>
  <si>
    <t xml:space="preserve">Homme</t>
  </si>
  <si>
    <t xml:space="preserve">Femme</t>
  </si>
  <si>
    <t xml:space="preserve">annuel</t>
  </si>
  <si>
    <t xml:space="preserve">Lamine FOFANA - Gérant (promoteur)</t>
  </si>
  <si>
    <t xml:space="preserve">Ouvrier permanent</t>
  </si>
  <si>
    <t xml:space="preserve">Ouvriers saisonniers</t>
  </si>
  <si>
    <t xml:space="preserve">Total</t>
  </si>
  <si>
    <t xml:space="preserve">2.2. Construction d'infrastructures</t>
  </si>
  <si>
    <t xml:space="preserve">Désignation </t>
  </si>
  <si>
    <t xml:space="preserve">Quantité </t>
  </si>
  <si>
    <t xml:space="preserve">Prix unitaire </t>
  </si>
  <si>
    <t xml:space="preserve">Montant (F.CFA)</t>
  </si>
  <si>
    <t xml:space="preserve">TOTAL</t>
  </si>
  <si>
    <t xml:space="preserve">Agencement-Aménagement-Installations</t>
  </si>
  <si>
    <t xml:space="preserve">Préparation et aménagement de la parcelle</t>
  </si>
  <si>
    <t xml:space="preserve">Pompe de surface et accessoires</t>
  </si>
  <si>
    <t xml:space="preserve">Réservoir d’eau</t>
  </si>
  <si>
    <t xml:space="preserve">Plastique pour le paillage (150 m²)</t>
  </si>
  <si>
    <t xml:space="preserve">Système d’irrigation goutte-à-goutte (tuyaux, bouchons, coudes, injecteur, vannes, filtre, gaine)</t>
  </si>
  <si>
    <t xml:space="preserve">2.3	Mobiliers et matériels</t>
  </si>
  <si>
    <t xml:space="preserve">2.4 Equipements de production</t>
  </si>
  <si>
    <t xml:space="preserve">Brouette</t>
  </si>
  <si>
    <t xml:space="preserve">Arrosoirs</t>
  </si>
  <si>
    <t xml:space="preserve">Houes / daba / pelles (1 lot)</t>
  </si>
  <si>
    <t xml:space="preserve">Caisses de récolte</t>
  </si>
  <si>
    <t xml:space="preserve">Balance</t>
  </si>
  <si>
    <t xml:space="preserve">Pulvérisateur</t>
  </si>
  <si>
    <t xml:space="preserve">Séchoirs avec grilles artisanaux</t>
  </si>
  <si>
    <t xml:space="preserve">2.2. FRAIS GENERAUX</t>
  </si>
  <si>
    <t xml:space="preserve">Qté/nbre/mois</t>
  </si>
  <si>
    <t xml:space="preserve">Qté/nbre/an</t>
  </si>
  <si>
    <t xml:space="preserve">Montant
 (F.CFA)</t>
  </si>
  <si>
    <t xml:space="preserve">Transports / déplacements</t>
  </si>
  <si>
    <t xml:space="preserve">Communication / publicité</t>
  </si>
  <si>
    <t xml:space="preserve">Maintenance</t>
  </si>
  <si>
    <t xml:space="preserve">III. DONNEES PREVISIONNELES SUR LES RECETTES</t>
  </si>
  <si>
    <t xml:space="preserve">2.2. VENTES DE PRODUITS</t>
  </si>
  <si>
    <t xml:space="preserve">Vente piment frais</t>
  </si>
  <si>
    <t xml:space="preserve">Kg</t>
  </si>
  <si>
    <t xml:space="preserve">Vente piment séché</t>
  </si>
  <si>
    <t xml:space="preserve">A. EVALUATION DU COÛT DE  PROJET (FCFA)</t>
  </si>
  <si>
    <t xml:space="preserve">Montant FCFA</t>
  </si>
  <si>
    <t xml:space="preserve">%</t>
  </si>
  <si>
    <t xml:space="preserve">1. Frais d'établissement</t>
  </si>
  <si>
    <t xml:space="preserve">Frais d'étude / développement</t>
  </si>
  <si>
    <t xml:space="preserve">Frais de publicité et de lancement</t>
  </si>
  <si>
    <t xml:space="preserve">Frais de constitution</t>
  </si>
  <si>
    <t xml:space="preserve">Frais d'hypothèque</t>
  </si>
  <si>
    <t xml:space="preserve">Frais de nantissement</t>
  </si>
  <si>
    <t xml:space="preserve">Autres frais d’établissement</t>
  </si>
  <si>
    <t xml:space="preserve">2. Frais d'investissement</t>
  </si>
  <si>
    <t xml:space="preserve">2.1 Constructions</t>
  </si>
  <si>
    <t xml:space="preserve">2.2 Agencement-Aménagement-Installations</t>
  </si>
  <si>
    <t xml:space="preserve">Balance, pulvérisateur et séchoirs artisanaux</t>
  </si>
  <si>
    <t xml:space="preserve">3. Besoin en fonds de roulement</t>
  </si>
  <si>
    <t xml:space="preserve">Achats de matières premières (3 mois)</t>
  </si>
  <si>
    <t xml:space="preserve">Autres achat (préciser le nombre de mois)</t>
  </si>
  <si>
    <t xml:space="preserve">Frais de personnel (1 mois)</t>
  </si>
  <si>
    <t xml:space="preserve">Frais généraux (1 mois)</t>
  </si>
  <si>
    <t xml:space="preserve">Sécurité de caisse (préciser le nombre de mois)</t>
  </si>
  <si>
    <t xml:space="preserve">COÛT TOTAL DU PROJET</t>
  </si>
  <si>
    <t xml:space="preserve">B. PLAN DE FINANCEMENT </t>
  </si>
  <si>
    <t xml:space="preserve">Apport numeraire</t>
  </si>
  <si>
    <t xml:space="preserve">-</t>
  </si>
  <si>
    <t xml:space="preserve">Primes</t>
  </si>
  <si>
    <t xml:space="preserve">Avant CS</t>
  </si>
  <si>
    <t xml:space="preserve">Création</t>
  </si>
  <si>
    <t xml:space="preserve">Subvention "Emploi"</t>
  </si>
  <si>
    <t xml:space="preserve">Non</t>
  </si>
  <si>
    <t xml:space="preserve">crédit</t>
  </si>
  <si>
    <t xml:space="preserve">Emploi</t>
  </si>
  <si>
    <t xml:space="preserve">Innovation</t>
  </si>
  <si>
    <t xml:space="preserve">Crédit</t>
  </si>
  <si>
    <t xml:space="preserve">Subvention</t>
  </si>
  <si>
    <t xml:space="preserve">1. Le coût total de projet</t>
  </si>
  <si>
    <t xml:space="preserve">Subvention "Innovation"</t>
  </si>
  <si>
    <t xml:space="preserve">Croissance</t>
  </si>
  <si>
    <t xml:space="preserve">Crédit Ifs</t>
  </si>
  <si>
    <t xml:space="preserve">Projet vert</t>
  </si>
  <si>
    <t xml:space="preserve">2. Le financement de projet</t>
  </si>
  <si>
    <t xml:space="preserve">Verdissement</t>
  </si>
  <si>
    <t xml:space="preserve">2.1 L'apport personnel</t>
  </si>
  <si>
    <t xml:space="preserve">Prime "Emprunt"</t>
  </si>
  <si>
    <t xml:space="preserve">Apport en numéraire</t>
  </si>
  <si>
    <t xml:space="preserve">Projet Vert</t>
  </si>
  <si>
    <t xml:space="preserve">2.2 La contribution (Primes) du FACEJ</t>
  </si>
  <si>
    <t xml:space="preserve">Subvention « création emploi » </t>
  </si>
  <si>
    <t xml:space="preserve">Oui</t>
  </si>
  <si>
    <t xml:space="preserve">Subvention « innovants» </t>
  </si>
  <si>
    <t xml:space="preserve">Subvention (Projets verts et Verdissement)</t>
  </si>
  <si>
    <t xml:space="preserve">2.3 Le crédit sollicité</t>
  </si>
  <si>
    <t xml:space="preserve">An</t>
  </si>
  <si>
    <t xml:space="preserve">Financement IFPs</t>
  </si>
  <si>
    <t xml:space="preserve">Trimestre</t>
  </si>
  <si>
    <t xml:space="preserve">Vérification</t>
  </si>
  <si>
    <t xml:space="preserve">Mois</t>
  </si>
  <si>
    <t xml:space="preserve">Prime « emprunt » (à débloquer après remboursement intégral du prêt)</t>
  </si>
  <si>
    <t xml:space="preserve">Conditions de financement des IFS</t>
  </si>
  <si>
    <t xml:space="preserve">Durée du prêt</t>
  </si>
  <si>
    <t xml:space="preserve">Taux d'interet</t>
  </si>
  <si>
    <t xml:space="preserve">Différé</t>
  </si>
  <si>
    <t xml:space="preserve">mois</t>
  </si>
  <si>
    <t xml:space="preserve">Échéance de paiement</t>
  </si>
  <si>
    <t xml:space="preserve">TAF</t>
  </si>
  <si>
    <t xml:space="preserve">C. ELEMENTS DU COMPTE D'EXPLOITATION PREVISIONNEL (FCFA)</t>
  </si>
  <si>
    <t xml:space="preserve">1. Recettes prévisionnelles</t>
  </si>
  <si>
    <t xml:space="preserve">Taux de croissance</t>
  </si>
  <si>
    <t xml:space="preserve">Désignations/Années</t>
  </si>
  <si>
    <t xml:space="preserve">AN1</t>
  </si>
  <si>
    <t xml:space="preserve">AN2</t>
  </si>
  <si>
    <t xml:space="preserve">AN3</t>
  </si>
  <si>
    <t xml:space="preserve">AN4</t>
  </si>
  <si>
    <t xml:space="preserve">AN5</t>
  </si>
  <si>
    <t xml:space="preserve">Total recettes </t>
  </si>
  <si>
    <t xml:space="preserve">2. Charges d'exploitation</t>
  </si>
  <si>
    <t xml:space="preserve">2.1 Achats</t>
  </si>
  <si>
    <t xml:space="preserve">Total </t>
  </si>
  <si>
    <t xml:space="preserve">2.2 Charges de Personnel</t>
  </si>
  <si>
    <t xml:space="preserve">Frais de personnel</t>
  </si>
  <si>
    <t xml:space="preserve">Masse salariale</t>
  </si>
  <si>
    <t xml:space="preserve">2.3 Impôts et taxes</t>
  </si>
  <si>
    <t xml:space="preserve">Taxes apprentissage</t>
  </si>
  <si>
    <t xml:space="preserve">Contribution forfaitaire</t>
  </si>
  <si>
    <t xml:space="preserve">Taxe de logement</t>
  </si>
  <si>
    <t xml:space="preserve">Autres impots et taxes (taxe de voirie, licences, droits d’enregistrement / de timbre, synthétique)</t>
  </si>
  <si>
    <t xml:space="preserve">2.4 Travaux-Fournitures et Services Extérieurs (TFSE)</t>
  </si>
  <si>
    <t xml:space="preserve">2.5 Autres charges</t>
  </si>
  <si>
    <t xml:space="preserve">267 Dotation aux amortissements</t>
  </si>
  <si>
    <t xml:space="preserve">Taux</t>
  </si>
  <si>
    <t xml:space="preserve">AN1 </t>
  </si>
  <si>
    <t xml:space="preserve">Frais d'établissement</t>
  </si>
  <si>
    <t xml:space="preserve">2.8 Frais financiers  et charges assimilées</t>
  </si>
  <si>
    <t xml:space="preserve">Montant du Prêt  :</t>
  </si>
  <si>
    <t xml:space="preserve">FCFA</t>
  </si>
  <si>
    <t xml:space="preserve">Taux d'intérêt  :</t>
  </si>
  <si>
    <t xml:space="preserve">par an soit</t>
  </si>
  <si>
    <t xml:space="preserve">par mois</t>
  </si>
  <si>
    <t xml:space="preserve">TAF    :</t>
  </si>
  <si>
    <t xml:space="preserve">par an</t>
  </si>
  <si>
    <t xml:space="preserve">Taux d'intérêt appliqué TTC  :</t>
  </si>
  <si>
    <t xml:space="preserve">Période de remboursement  :</t>
  </si>
  <si>
    <t xml:space="preserve">Période de différé  :</t>
  </si>
  <si>
    <t xml:space="preserve">Durée du prêt :</t>
  </si>
  <si>
    <t xml:space="preserve">Nombre d'échéance  :</t>
  </si>
  <si>
    <t xml:space="preserve">Période</t>
  </si>
  <si>
    <t xml:space="preserve">Intérêts</t>
  </si>
  <si>
    <t xml:space="preserve">Frais Financier</t>
  </si>
  <si>
    <t xml:space="preserve">Remboursement</t>
  </si>
  <si>
    <t xml:space="preserve">Principal</t>
  </si>
  <si>
    <t xml:space="preserve">Périodicité
dégressive</t>
  </si>
  <si>
    <t xml:space="preserve">Périodicité
linéaire</t>
  </si>
  <si>
    <t xml:space="preserve">D. COMPTE D'EXPLOITATION PREVISIONNEL (FCFA)</t>
  </si>
  <si>
    <t xml:space="preserve">Achats de matières premières</t>
  </si>
  <si>
    <t xml:space="preserve">Charges de Personnel</t>
  </si>
  <si>
    <t xml:space="preserve">Travaux-Fournitures et Services Extérieurs (TFSE)</t>
  </si>
  <si>
    <t xml:space="preserve">Autres charges</t>
  </si>
  <si>
    <t xml:space="preserve">Frais financiers  et charges assimilées</t>
  </si>
  <si>
    <t xml:space="preserve">Dotations aux amortissements</t>
  </si>
  <si>
    <t xml:space="preserve">Total charges</t>
  </si>
  <si>
    <t xml:space="preserve"> </t>
  </si>
  <si>
    <t xml:space="preserve">Résultats bruts</t>
  </si>
  <si>
    <t xml:space="preserve">BIC </t>
  </si>
  <si>
    <t xml:space="preserve">Impôts et taxes</t>
  </si>
  <si>
    <t xml:space="preserve">Résultats nets</t>
  </si>
  <si>
    <t xml:space="preserve">CAF</t>
  </si>
  <si>
    <t xml:space="preserve">CAF CUMULEE</t>
  </si>
  <si>
    <t xml:space="preserve">E. COMPTE DE TRESORERIE  (FCFA)</t>
  </si>
  <si>
    <t xml:space="preserve">AN0</t>
  </si>
  <si>
    <t xml:space="preserve">SOURCES DE FONDS</t>
  </si>
  <si>
    <t xml:space="preserve">Apport personnel</t>
  </si>
  <si>
    <t xml:space="preserve">Crédit </t>
  </si>
  <si>
    <t xml:space="preserve">Contribution (Primes) FACEJ</t>
  </si>
  <si>
    <t xml:space="preserve">Subvention (Projet Vert/verdissement)</t>
  </si>
  <si>
    <t xml:space="preserve">Dotation aux Amortissements</t>
  </si>
  <si>
    <t xml:space="preserve">Total RESSOURCES</t>
  </si>
  <si>
    <t xml:space="preserve">EMPLOIS DE FONDS</t>
  </si>
  <si>
    <t xml:space="preserve">Frais d'établissements</t>
  </si>
  <si>
    <t xml:space="preserve">Frais d'investissement</t>
  </si>
  <si>
    <t xml:space="preserve">BFR</t>
  </si>
  <si>
    <t xml:space="preserve">Remboursement de CREDIT MOYEN TERME</t>
  </si>
  <si>
    <t xml:space="preserve">Total EMPLOIS</t>
  </si>
  <si>
    <t xml:space="preserve">TRESORERIE DEGAGEE</t>
  </si>
  <si>
    <t xml:space="preserve">TRESORERIE CUMULEE</t>
  </si>
  <si>
    <t xml:space="preserve">ELEMENTS DU CALCUL DES RATIOS</t>
  </si>
  <si>
    <t xml:space="preserve">TRI (sur CAF, hors financement)</t>
  </si>
  <si>
    <t xml:space="preserve">Sur 5 ans</t>
  </si>
  <si>
    <t xml:space="preserve">VAN (sur CAF, hors financement)</t>
  </si>
  <si>
    <t xml:space="preserve">Calcul du délai de recuperation des capitaux investis</t>
  </si>
  <si>
    <t xml:space="preserve">AN 1</t>
  </si>
  <si>
    <t xml:space="preserve">AN 2</t>
  </si>
  <si>
    <t xml:space="preserve">AN 3</t>
  </si>
  <si>
    <t xml:space="preserve">AN 4</t>
  </si>
  <si>
    <t xml:space="preserve">AN 5</t>
  </si>
  <si>
    <t xml:space="preserve">CAF annuelle (autofinancement dégagé)</t>
  </si>
  <si>
    <t xml:space="preserve">CAF cumulée</t>
  </si>
  <si>
    <t xml:space="preserve">Ressources actualisées à 10%</t>
  </si>
  <si>
    <t xml:space="preserve">CALCUL DU DELAI DE RECUPERATION (base CAF, corrige)</t>
  </si>
  <si>
    <t xml:space="preserve">Nombre d'années pleines non couvertes (n)</t>
  </si>
  <si>
    <t xml:space="preserve">CAF cumulée à la fin de l'année n</t>
  </si>
  <si>
    <t xml:space="preserve">CAF de l'année n+1</t>
  </si>
  <si>
    <t xml:space="preserve">Délai de récupération (années décimales)</t>
  </si>
  <si>
    <t xml:space="preserve">Periode de recuperation</t>
  </si>
  <si>
    <t xml:space="preserve">Délai de récupération - SANS actualisation</t>
  </si>
  <si>
    <t xml:space="preserve">(sans actualisation)</t>
  </si>
  <si>
    <t xml:space="preserve">CAF actualisée par année (taux = A24)</t>
  </si>
  <si>
    <t xml:space="preserve">CAF actualisée</t>
  </si>
  <si>
    <t xml:space="preserve">Cumul CAF actualisée</t>
  </si>
  <si>
    <t xml:space="preserve">Nombre d'années pleines non couvertes (actualisé)</t>
  </si>
  <si>
    <t xml:space="preserve">Cumul CAF actualisée à la fin de l'année n</t>
  </si>
  <si>
    <t xml:space="preserve">CAF actualisée de l'année n+1</t>
  </si>
  <si>
    <t xml:space="preserve">Délai de récupération actualisé (années décimales)</t>
  </si>
  <si>
    <t xml:space="preserve">Délai de récupération - AVEC actualisation</t>
  </si>
  <si>
    <t xml:space="preserve">F. BILAN D'OUVERTURE  (FCFA)</t>
  </si>
  <si>
    <t xml:space="preserve">BILAN DE DEMARRAGE TOUT TYPE PROJET</t>
  </si>
  <si>
    <t xml:space="preserve">ACTIF</t>
  </si>
  <si>
    <t xml:space="preserve">MONTANT</t>
  </si>
  <si>
    <t xml:space="preserve">PASSIF</t>
  </si>
  <si>
    <t xml:space="preserve">ACTIF IMMOBILISE</t>
  </si>
  <si>
    <t xml:space="preserve">CAPITAUX PROPRES ET RESSOURCES ASSIMILEES</t>
  </si>
  <si>
    <t xml:space="preserve">Immobilisations incorporelles</t>
  </si>
  <si>
    <t xml:space="preserve">Capitaux Propres (a)+(b)</t>
  </si>
  <si>
    <t xml:space="preserve">Apport en Nature (a)</t>
  </si>
  <si>
    <t xml:space="preserve">Apport en Espéces (b)</t>
  </si>
  <si>
    <t xml:space="preserve">Résultat net de l'exercice (bénéfice + ou perte -)</t>
  </si>
  <si>
    <t xml:space="preserve">Autres capitaux propres</t>
  </si>
  <si>
    <t xml:space="preserve">Subventions d'investissement </t>
  </si>
  <si>
    <t xml:space="preserve">Immobilisations corporelles</t>
  </si>
  <si>
    <t xml:space="preserve">TOTAL CAPITAUX PROPRES (I)</t>
  </si>
  <si>
    <t xml:space="preserve">DETTES FINANCIERES ET RESSOURCES ASSIMILEES</t>
  </si>
  <si>
    <t xml:space="preserve">Emprunts</t>
  </si>
  <si>
    <t xml:space="preserve">Dettes de crédit-bail et contrats assimilés</t>
  </si>
  <si>
    <t xml:space="preserve">Dettes financières diverses</t>
  </si>
  <si>
    <t xml:space="preserve">TOTAL DES DETTES FINANCIERES (II)</t>
  </si>
  <si>
    <t xml:space="preserve">TOTAL DES RESSOURCES STABLES ( I + II)</t>
  </si>
  <si>
    <t xml:space="preserve">Anciens équipements</t>
  </si>
  <si>
    <t xml:space="preserve">TOTAL ACTIF IMMOBILISE (I)</t>
  </si>
  <si>
    <t xml:space="preserve">ACTIF CIRCULANT</t>
  </si>
  <si>
    <t xml:space="preserve">PASSIF CIRCULANT</t>
  </si>
  <si>
    <t xml:space="preserve">Stocks</t>
  </si>
  <si>
    <t xml:space="preserve">Clients, avances reçues</t>
  </si>
  <si>
    <t xml:space="preserve">Marchandises</t>
  </si>
  <si>
    <t xml:space="preserve">Fournisseurs </t>
  </si>
  <si>
    <t xml:space="preserve">Matières premières et autres approvisionnements</t>
  </si>
  <si>
    <t xml:space="preserve">Dettes fiscales</t>
  </si>
  <si>
    <t xml:space="preserve">En-cours</t>
  </si>
  <si>
    <t xml:space="preserve">Dettes sociales</t>
  </si>
  <si>
    <t xml:space="preserve">Produits fabriqués</t>
  </si>
  <si>
    <t xml:space="preserve">Autres dettes</t>
  </si>
  <si>
    <t xml:space="preserve">Créances et emplois assimilés</t>
  </si>
  <si>
    <t xml:space="preserve">TOTAL PASSIF CIRCULANT (III)</t>
  </si>
  <si>
    <t xml:space="preserve">Fournisseurs, avances versées</t>
  </si>
  <si>
    <t xml:space="preserve">Clients</t>
  </si>
  <si>
    <t xml:space="preserve">TRESORERIE - PASSIF</t>
  </si>
  <si>
    <t xml:space="preserve">Autres créances</t>
  </si>
  <si>
    <t xml:space="preserve">Banques, crédits de trésorerie</t>
  </si>
  <si>
    <t xml:space="preserve">Banques, découverts</t>
  </si>
  <si>
    <t xml:space="preserve">TOTAL ACTIF CIRCULANT (II)</t>
  </si>
  <si>
    <t xml:space="preserve">TOTAL TRESORERIE PASSIF (IV)</t>
  </si>
  <si>
    <t xml:space="preserve">TRESORERIE - ACTIF</t>
  </si>
  <si>
    <t xml:space="preserve">valeurs à encaisser</t>
  </si>
  <si>
    <t xml:space="preserve">Banques, caisse</t>
  </si>
  <si>
    <t xml:space="preserve">TOTAL TRESORERIE ACTIF (III)</t>
  </si>
  <si>
    <t xml:space="preserve">TOTAL GENERAL ( I+II+III)</t>
  </si>
  <si>
    <t xml:space="preserve">TOTAL GENERAL ( I+II+III+IV )</t>
  </si>
  <si>
    <t xml:space="preserve">G. RATIOS D'ANALYSE ECONOMIQUE ET FINANCIERE (FCFA)</t>
  </si>
  <si>
    <t xml:space="preserve">1. Le taux de valeur ajoutée</t>
  </si>
  <si>
    <t xml:space="preserve">Impots et taxes</t>
  </si>
  <si>
    <t xml:space="preserve">Frais financiers</t>
  </si>
  <si>
    <t xml:space="preserve">Resultats bruts</t>
  </si>
  <si>
    <t xml:space="preserve">Total VA</t>
  </si>
  <si>
    <t xml:space="preserve">Chiffre d'affaires</t>
  </si>
  <si>
    <t xml:space="preserve">Taux de VA (%)</t>
  </si>
  <si>
    <t xml:space="preserve">Taux moyen de la Valeur Ajoutée</t>
  </si>
  <si>
    <t xml:space="preserve">2. Le seuil de rentabilité</t>
  </si>
  <si>
    <t xml:space="preserve">Charges fixes</t>
  </si>
  <si>
    <t xml:space="preserve">Charges variables</t>
  </si>
  <si>
    <t xml:space="preserve">Achats</t>
  </si>
  <si>
    <t xml:space="preserve">Frais de Personnel</t>
  </si>
  <si>
    <t xml:space="preserve">Frais financiers et services de la dette</t>
  </si>
  <si>
    <t xml:space="preserve">2. Le Seuil de rentabilité</t>
  </si>
  <si>
    <t xml:space="preserve">% DU CA</t>
  </si>
  <si>
    <t xml:space="preserve">3. Le taux de rentabilité interne (TRI)</t>
  </si>
  <si>
    <t xml:space="preserve">4. La valeur actuelle nette (VAN)</t>
  </si>
  <si>
    <t xml:space="preserve">F.CFA</t>
  </si>
  <si>
    <t xml:space="preserve">5.  Délais de récupération (sans actualisation, avec actualisation)</t>
  </si>
  <si>
    <t xml:space="preserve">  Sans actualisation</t>
  </si>
  <si>
    <t xml:space="preserve">  Avec actualisation au taux de</t>
  </si>
  <si>
    <t xml:space="preserve">6. Le taux de rentabilité financière la troisième année
(résultat net/Chiffres d'affaires)</t>
  </si>
  <si>
    <t xml:space="preserve">Rubriques </t>
  </si>
  <si>
    <t xml:space="preserve">Année 0
(mise en œuvre)</t>
  </si>
  <si>
    <t xml:space="preserve">Mois 1</t>
  </si>
  <si>
    <t xml:space="preserve">Mois 2</t>
  </si>
  <si>
    <t xml:space="preserve">Mois 3</t>
  </si>
  <si>
    <t xml:space="preserve">Mois 4</t>
  </si>
  <si>
    <t xml:space="preserve">Mois 5</t>
  </si>
  <si>
    <t xml:space="preserve">Mois 6</t>
  </si>
  <si>
    <t xml:space="preserve">Mois 7</t>
  </si>
  <si>
    <t xml:space="preserve">Mois 8</t>
  </si>
  <si>
    <t xml:space="preserve">Mois 9</t>
  </si>
  <si>
    <t xml:space="preserve">Mois 10</t>
  </si>
  <si>
    <t xml:space="preserve">Mois 11</t>
  </si>
  <si>
    <t xml:space="preserve">Mois 12</t>
  </si>
  <si>
    <t xml:space="preserve">Total des Entrées</t>
  </si>
  <si>
    <t xml:space="preserve">Total des dépenses</t>
  </si>
  <si>
    <t xml:space="preserve">Argent disponible en fin de mois</t>
  </si>
  <si>
    <t xml:space="preserve">Trésorérie cumulée</t>
  </si>
  <si>
    <t xml:space="preserve">Mois 3 </t>
  </si>
  <si>
    <t xml:space="preserve">Produits</t>
  </si>
  <si>
    <t xml:space="preserve">Total des Produits</t>
  </si>
  <si>
    <t xml:space="preserve">Charges </t>
  </si>
  <si>
    <t xml:space="preserve">Matières premières</t>
  </si>
  <si>
    <t xml:space="preserve">Amortissement</t>
  </si>
  <si>
    <t xml:space="preserve">Total des charges</t>
  </si>
  <si>
    <t xml:space="preserve">Résultat Brut</t>
  </si>
  <si>
    <t xml:space="preserve">Résultat</t>
  </si>
  <si>
    <t xml:space="preserve">FICHE SIGNALETIQUE</t>
  </si>
  <si>
    <t xml:space="preserve">I. Financement du Projet</t>
  </si>
  <si>
    <t xml:space="preserve">Coût Total du projet </t>
  </si>
  <si>
    <t xml:space="preserve">Montant de l’apport personnel (……..%)</t>
  </si>
  <si>
    <t xml:space="preserve">Montant des subventions et prime accordées (……%)</t>
  </si>
  <si>
    <t xml:space="preserve">Subvention emploi</t>
  </si>
  <si>
    <t xml:space="preserve">Subvention innovation </t>
  </si>
  <si>
    <t xml:space="preserve">Prime crédit</t>
  </si>
  <si>
    <t xml:space="preserve">Montant des subventions (Projet Vert ou Verdissement)</t>
  </si>
  <si>
    <t xml:space="preserve">Subvention </t>
  </si>
  <si>
    <t xml:space="preserve">Montant du crédit de financement sollicité (…. %) </t>
  </si>
  <si>
    <t xml:space="preserve">Crédit Moyen Terme</t>
  </si>
  <si>
    <t xml:space="preserve">Crédit Court Terme </t>
  </si>
  <si>
    <t xml:space="preserve">II. Conditions de financement du crédit</t>
  </si>
  <si>
    <t xml:space="preserve">Institution de financement</t>
  </si>
  <si>
    <t xml:space="preserve">(Nom de l’IFP)</t>
  </si>
  <si>
    <t xml:space="preserve">Numéro de compte bancaire</t>
  </si>
  <si>
    <t xml:space="preserve">Durée du prêt </t>
  </si>
  <si>
    <t xml:space="preserve">(Années et mois)</t>
  </si>
  <si>
    <t xml:space="preserve">Taux du prêt </t>
  </si>
  <si>
    <t xml:space="preserve">Taux du crédit Moyen terme </t>
  </si>
  <si>
    <t xml:space="preserve">Taux du crédit Court terme </t>
  </si>
  <si>
    <t xml:space="preserve">III. Données économiques</t>
  </si>
  <si>
    <t xml:space="preserve">Chiffre d’affaires de référence (Entreprise en croissance)</t>
  </si>
  <si>
    <t xml:space="preserve">(Année 0)</t>
  </si>
  <si>
    <t xml:space="preserve">Chiffres d’affaires prévisionnel</t>
  </si>
  <si>
    <t xml:space="preserve">1ère année</t>
  </si>
  <si>
    <t xml:space="preserve">2ème année</t>
  </si>
  <si>
    <t xml:space="preserve">3ème année</t>
  </si>
  <si>
    <t xml:space="preserve">Résultats Nets</t>
  </si>
  <si>
    <t xml:space="preserve">Capacité d’autofinancement</t>
  </si>
  <si>
    <t xml:space="preserve">IV. Quelques ratios</t>
  </si>
  <si>
    <t xml:space="preserve">Seuil de Rentabilité</t>
  </si>
  <si>
    <t xml:space="preserve">Valeur ajoutée</t>
  </si>
  <si>
    <t xml:space="preserve">Délai de récupération</t>
  </si>
  <si>
    <t xml:space="preserve">Sans actualisation</t>
  </si>
  <si>
    <t xml:space="preserve">Avec actualisation</t>
  </si>
  <si>
    <t xml:space="preserve">V. Emplois</t>
  </si>
  <si>
    <t xml:space="preserve">Nombre d’emploi existant</t>
  </si>
  <si>
    <t xml:space="preserve">Création de nouveaux emplois</t>
  </si>
  <si>
    <t xml:space="preserve">Type</t>
  </si>
  <si>
    <t xml:space="preserve">Hommes</t>
  </si>
  <si>
    <t xml:space="preserve">Femmes</t>
  </si>
  <si>
    <t xml:space="preserve">ESTIMATION COÛT DU PROJET</t>
  </si>
  <si>
    <t xml:space="preserve">PLAN DE FINANCEMENT</t>
  </si>
  <si>
    <t xml:space="preserve">Rubriques</t>
  </si>
  <si>
    <t xml:space="preserve">Coût du projet</t>
  </si>
  <si>
    <t xml:space="preserve">Emprunt ou Subvention</t>
  </si>
  <si>
    <t xml:space="preserve">Frais d'étude</t>
  </si>
  <si>
    <t xml:space="preserve">Frais de suivi </t>
  </si>
  <si>
    <t xml:space="preserve">Fais  d'enrégistrement</t>
  </si>
  <si>
    <t xml:space="preserve">Autres frais</t>
  </si>
  <si>
    <t xml:space="preserve">Terrain</t>
  </si>
  <si>
    <t xml:space="preserve">Construction</t>
  </si>
  <si>
    <t xml:space="preserve">Agencement -aménagement et installations</t>
  </si>
  <si>
    <t xml:space="preserve">Equipements d'exploitation</t>
  </si>
  <si>
    <t xml:space="preserve">Matériel et mobiliers de bureau</t>
  </si>
  <si>
    <t xml:space="preserve">Matériel roulant/transport</t>
  </si>
  <si>
    <t xml:space="preserve">Sur achats de matières premières (3 mois)</t>
  </si>
  <si>
    <t xml:space="preserve">Sur frais de personnel(3 mois)</t>
  </si>
  <si>
    <t xml:space="preserve">Sur TFSE (3 mois)</t>
  </si>
  <si>
    <t xml:space="preserve">Sécurité de caisse(1 mois)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</si>
</sst>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"/>
    <numFmt numFmtId="166" formatCode="0%"/>
    <numFmt numFmtId="167" formatCode="#,##0\ _€"/>
    <numFmt numFmtId="168" formatCode="General"/>
    <numFmt numFmtId="169" formatCode="_-* #,##0\ _€_-;\-* #,##0\ _€_-;_-* \-??\ _€_-;_-@_-"/>
    <numFmt numFmtId="170" formatCode="_-* #,##0\ _€_-;\-* #,##0\ _€_-;_-* &quot;- &quot;_€_-;_-@_-"/>
    <numFmt numFmtId="171" formatCode="0.00%"/>
    <numFmt numFmtId="172" formatCode="#,##0_ ;\-#,##0\ "/>
    <numFmt numFmtId="173" formatCode="#,##0_ ;[RED]\-#,##0\ "/>
    <numFmt numFmtId="174" formatCode="#,##0.00&quot; €&quot;;[RED]\-#,##0.00&quot; €&quot;"/>
    <numFmt numFmtId="175" formatCode="0"/>
    <numFmt numFmtId="176" formatCode="0.00"/>
    <numFmt numFmtId="177" formatCode="0.000"/>
  </numFmts>
  <fonts count="8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sz val="10"/>
      <color theme="1"/>
      <name val="Cambria"/>
      <family val="1"/>
      <charset val="1"/>
    </font>
    <font>
      <b val="true"/>
      <sz val="20"/>
      <color theme="0"/>
      <name val="Cambria"/>
      <family val="1"/>
      <charset val="1"/>
    </font>
    <font>
      <sz val="10"/>
      <name val="Cambria"/>
      <family val="1"/>
      <charset val="1"/>
    </font>
    <font>
      <b val="true"/>
      <sz val="10"/>
      <name val="Cambria"/>
      <family val="1"/>
      <charset val="1"/>
    </font>
    <font>
      <b val="true"/>
      <sz val="10"/>
      <color theme="0"/>
      <name val="Cambria"/>
      <family val="1"/>
      <charset val="1"/>
    </font>
    <font>
      <b val="true"/>
      <sz val="10"/>
      <color theme="1"/>
      <name val="Cambria"/>
      <family val="1"/>
      <charset val="1"/>
    </font>
    <font>
      <sz val="10"/>
      <color theme="0"/>
      <name val="Cambria"/>
      <family val="1"/>
      <charset val="1"/>
    </font>
    <font>
      <b val="true"/>
      <sz val="11"/>
      <name val="Cambria"/>
      <family val="1"/>
      <charset val="1"/>
    </font>
    <font>
      <sz val="10"/>
      <color rgb="FF000000"/>
      <name val="Cambria"/>
      <family val="1"/>
      <charset val="1"/>
    </font>
    <font>
      <b val="true"/>
      <sz val="10"/>
      <color rgb="FF000000"/>
      <name val="Cambria"/>
      <family val="1"/>
      <charset val="1"/>
    </font>
    <font>
      <sz val="12"/>
      <color theme="1"/>
      <name val="Times New Roman"/>
      <family val="1"/>
      <charset val="1"/>
    </font>
    <font>
      <sz val="11"/>
      <color rgb="FF000000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b val="true"/>
      <sz val="16"/>
      <color theme="0"/>
      <name val="Cambria"/>
      <family val="1"/>
      <charset val="1"/>
    </font>
    <font>
      <b val="true"/>
      <i val="true"/>
      <sz val="14"/>
      <color theme="0"/>
      <name val="Cambria"/>
      <family val="1"/>
      <charset val="1"/>
    </font>
    <font>
      <sz val="11"/>
      <color theme="1"/>
      <name val="Cambria"/>
      <family val="1"/>
      <charset val="1"/>
    </font>
    <font>
      <b val="true"/>
      <i val="true"/>
      <sz val="12"/>
      <color theme="0"/>
      <name val="Cambria"/>
      <family val="1"/>
      <charset val="1"/>
    </font>
    <font>
      <b val="true"/>
      <sz val="14"/>
      <color theme="1"/>
      <name val="Cambria"/>
      <family val="1"/>
      <charset val="1"/>
    </font>
    <font>
      <b val="true"/>
      <i val="true"/>
      <sz val="11"/>
      <color theme="1"/>
      <name val="Calibri"/>
      <family val="2"/>
      <charset val="1"/>
    </font>
    <font>
      <b val="true"/>
      <sz val="11"/>
      <color rgb="FFFF0000"/>
      <name val="Cambria"/>
      <family val="1"/>
      <charset val="1"/>
    </font>
    <font>
      <b val="true"/>
      <sz val="14"/>
      <color theme="0"/>
      <name val="Cambria"/>
      <family val="1"/>
      <charset val="1"/>
    </font>
    <font>
      <b val="true"/>
      <i val="true"/>
      <sz val="11"/>
      <color theme="1"/>
      <name val="Cambria"/>
      <family val="1"/>
      <charset val="1"/>
    </font>
    <font>
      <i val="true"/>
      <sz val="11"/>
      <color theme="1"/>
      <name val="Cambria"/>
      <family val="1"/>
      <charset val="1"/>
    </font>
    <font>
      <b val="true"/>
      <sz val="11"/>
      <color theme="1"/>
      <name val="Cambria"/>
      <family val="1"/>
      <charset val="1"/>
    </font>
    <font>
      <b val="true"/>
      <i val="true"/>
      <sz val="14"/>
      <color theme="1"/>
      <name val="Cambria"/>
      <family val="1"/>
      <charset val="1"/>
    </font>
    <font>
      <b val="true"/>
      <i val="true"/>
      <sz val="11"/>
      <color theme="0"/>
      <name val="Cambria"/>
      <family val="1"/>
      <charset val="1"/>
    </font>
    <font>
      <sz val="11"/>
      <name val="Cambria"/>
      <family val="1"/>
      <charset val="1"/>
    </font>
    <font>
      <b val="true"/>
      <sz val="16"/>
      <name val="Cambria"/>
      <family val="1"/>
      <charset val="1"/>
    </font>
    <font>
      <b val="true"/>
      <i val="true"/>
      <sz val="14"/>
      <name val="Cambria"/>
      <family val="1"/>
      <charset val="1"/>
    </font>
    <font>
      <b val="true"/>
      <i val="true"/>
      <sz val="10"/>
      <name val="Cambria"/>
      <family val="1"/>
      <charset val="1"/>
    </font>
    <font>
      <b val="true"/>
      <i val="true"/>
      <sz val="12"/>
      <name val="Cambria"/>
      <family val="1"/>
      <charset val="1"/>
    </font>
    <font>
      <b val="true"/>
      <i val="true"/>
      <sz val="11"/>
      <name val="Cambria"/>
      <family val="1"/>
      <charset val="1"/>
    </font>
    <font>
      <b val="true"/>
      <sz val="12"/>
      <color theme="0"/>
      <name val="Cambria"/>
      <family val="1"/>
      <charset val="1"/>
    </font>
    <font>
      <b val="true"/>
      <sz val="12"/>
      <name val="Cambria"/>
      <family val="1"/>
      <charset val="1"/>
    </font>
    <font>
      <i val="true"/>
      <sz val="11"/>
      <name val="Cambria"/>
      <family val="1"/>
      <charset val="1"/>
    </font>
    <font>
      <sz val="9"/>
      <name val="Cambria"/>
      <family val="1"/>
      <charset val="1"/>
    </font>
    <font>
      <sz val="11"/>
      <color theme="1"/>
      <name val="Garamond"/>
      <family val="1"/>
      <charset val="1"/>
    </font>
    <font>
      <b val="true"/>
      <sz val="12"/>
      <name val="Garamond"/>
      <family val="1"/>
      <charset val="1"/>
    </font>
    <font>
      <b val="true"/>
      <sz val="12"/>
      <color rgb="FF800000"/>
      <name val="Garamond"/>
      <family val="1"/>
      <charset val="1"/>
    </font>
    <font>
      <sz val="12"/>
      <color rgb="FF800000"/>
      <name val="Garamond"/>
      <family val="1"/>
      <charset val="1"/>
    </font>
    <font>
      <sz val="12"/>
      <name val="Garamond"/>
      <family val="1"/>
      <charset val="1"/>
    </font>
    <font>
      <sz val="9"/>
      <name val="Garamond"/>
      <family val="1"/>
      <charset val="1"/>
    </font>
    <font>
      <b val="true"/>
      <sz val="12"/>
      <color rgb="FF000080"/>
      <name val="Garamond"/>
      <family val="1"/>
      <charset val="1"/>
    </font>
    <font>
      <sz val="12"/>
      <color rgb="FF000080"/>
      <name val="Garamond"/>
      <family val="1"/>
      <charset val="1"/>
    </font>
    <font>
      <sz val="14"/>
      <name val="Cambria"/>
      <family val="1"/>
      <charset val="1"/>
    </font>
    <font>
      <b val="true"/>
      <sz val="14"/>
      <name val="Cambria"/>
      <family val="1"/>
      <charset val="1"/>
    </font>
    <font>
      <b val="true"/>
      <sz val="14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2"/>
      <color theme="1"/>
      <name val="Calibri Light"/>
      <family val="1"/>
      <charset val="1"/>
    </font>
    <font>
      <sz val="12"/>
      <color theme="1"/>
      <name val="Calibri Light"/>
      <family val="1"/>
      <charset val="1"/>
    </font>
    <font>
      <b val="true"/>
      <sz val="12"/>
      <color theme="1"/>
      <name val="Calibri Light"/>
      <family val="2"/>
      <charset val="1"/>
    </font>
    <font>
      <b val="true"/>
      <sz val="12"/>
      <name val="Calibri Light"/>
      <family val="1"/>
      <charset val="1"/>
    </font>
    <font>
      <sz val="10"/>
      <color theme="1"/>
      <name val="Calibri Light"/>
      <family val="1"/>
      <charset val="1"/>
    </font>
    <font>
      <b val="true"/>
      <sz val="10"/>
      <name val="Arial"/>
      <family val="0"/>
      <charset val="1"/>
    </font>
    <font>
      <i val="true"/>
      <sz val="9"/>
      <name val="Arial"/>
      <family val="0"/>
      <charset val="1"/>
    </font>
    <font>
      <sz val="12"/>
      <color rgb="FFFF0000"/>
      <name val="Calibri Light"/>
      <family val="1"/>
      <charset val="1"/>
    </font>
    <font>
      <b val="true"/>
      <sz val="10"/>
      <name val="Arial"/>
      <family val="2"/>
      <charset val="1"/>
    </font>
    <font>
      <sz val="12"/>
      <name val="Cambria"/>
      <family val="1"/>
      <charset val="1"/>
    </font>
    <font>
      <b val="true"/>
      <sz val="11"/>
      <color theme="0"/>
      <name val="Cambria"/>
      <family val="1"/>
      <charset val="1"/>
    </font>
    <font>
      <sz val="11"/>
      <color theme="1"/>
      <name val="Cambira"/>
      <family val="0"/>
      <charset val="1"/>
    </font>
    <font>
      <b val="true"/>
      <sz val="11"/>
      <color theme="0"/>
      <name val="Cambira"/>
      <family val="0"/>
      <charset val="1"/>
    </font>
    <font>
      <sz val="11"/>
      <name val="Cambira"/>
      <family val="0"/>
      <charset val="1"/>
    </font>
    <font>
      <b val="true"/>
      <sz val="11"/>
      <color rgb="FF000080"/>
      <name val="Cambira"/>
      <family val="0"/>
      <charset val="1"/>
    </font>
    <font>
      <i val="true"/>
      <sz val="9"/>
      <color theme="1"/>
      <name val="Cambria"/>
      <family val="1"/>
      <charset val="1"/>
    </font>
    <font>
      <sz val="9"/>
      <color theme="1"/>
      <name val="Calibri"/>
      <family val="2"/>
      <charset val="1"/>
    </font>
    <font>
      <i val="true"/>
      <sz val="10"/>
      <color theme="1"/>
      <name val="Cambria"/>
      <family val="1"/>
      <charset val="1"/>
    </font>
    <font>
      <b val="true"/>
      <sz val="11"/>
      <color rgb="FFFFFFFF"/>
      <name val="Cambria"/>
      <family val="1"/>
      <charset val="1"/>
    </font>
    <font>
      <b val="true"/>
      <sz val="11"/>
      <color rgb="FF000000"/>
      <name val="Cambria"/>
      <family val="1"/>
      <charset val="1"/>
    </font>
    <font>
      <sz val="11"/>
      <color rgb="FF000000"/>
      <name val="Cambria"/>
      <family val="1"/>
      <charset val="1"/>
    </font>
    <font>
      <sz val="10"/>
      <color theme="1"/>
      <name val="Times New Roman"/>
      <family val="1"/>
      <charset val="1"/>
    </font>
    <font>
      <i val="true"/>
      <sz val="11"/>
      <color rgb="FF000000"/>
      <name val="Cambria"/>
      <family val="1"/>
      <charset val="1"/>
    </font>
    <font>
      <b val="true"/>
      <sz val="14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2"/>
      <color theme="1"/>
      <name val="Calibri"/>
      <family val="2"/>
      <charset val="1"/>
    </font>
  </fonts>
  <fills count="36">
    <fill>
      <patternFill patternType="none"/>
    </fill>
    <fill>
      <patternFill patternType="gray125"/>
    </fill>
    <fill>
      <patternFill patternType="solid">
        <fgColor rgb="FF1F4E78"/>
        <bgColor rgb="FF166B7F"/>
      </patternFill>
    </fill>
    <fill>
      <patternFill patternType="solid">
        <fgColor theme="0"/>
        <bgColor rgb="FFF2F2F2"/>
      </patternFill>
    </fill>
    <fill>
      <patternFill patternType="solid">
        <fgColor theme="8" tint="0.7998"/>
        <bgColor rgb="FFE7E6E6"/>
      </patternFill>
    </fill>
    <fill>
      <patternFill patternType="solid">
        <fgColor theme="4" tint="0.3998"/>
        <bgColor rgb="FFB4C7E7"/>
      </patternFill>
    </fill>
    <fill>
      <patternFill patternType="solid">
        <fgColor theme="5" tint="-0.25"/>
        <bgColor rgb="FFD63431"/>
      </patternFill>
    </fill>
    <fill>
      <patternFill patternType="solid">
        <fgColor theme="5" tint="0.7998"/>
        <bgColor rgb="FFFFF2CC"/>
      </patternFill>
    </fill>
    <fill>
      <patternFill patternType="solid">
        <fgColor theme="9" tint="0.5998"/>
        <bgColor rgb="FFC9C9C9"/>
      </patternFill>
    </fill>
    <fill>
      <patternFill patternType="solid">
        <fgColor theme="3" tint="0.5998"/>
        <bgColor rgb="FFC0C0C0"/>
      </patternFill>
    </fill>
    <fill>
      <patternFill patternType="solid">
        <fgColor theme="5" tint="0.5998"/>
        <bgColor rgb="FFF4C9C8"/>
      </patternFill>
    </fill>
    <fill>
      <patternFill patternType="solid">
        <fgColor theme="2" tint="-0.25"/>
        <bgColor rgb="FFADB9CA"/>
      </patternFill>
    </fill>
    <fill>
      <patternFill patternType="solid">
        <fgColor theme="0" tint="-0.05"/>
        <bgColor rgb="FFE7E6E6"/>
      </patternFill>
    </fill>
    <fill>
      <patternFill patternType="solid">
        <fgColor rgb="FFFFFF00"/>
        <bgColor rgb="FFFFC000"/>
      </patternFill>
    </fill>
    <fill>
      <patternFill patternType="solid">
        <fgColor rgb="FF166B7F"/>
        <bgColor rgb="FF008080"/>
      </patternFill>
    </fill>
    <fill>
      <patternFill patternType="solid">
        <fgColor rgb="FF7F1F1F"/>
        <bgColor rgb="FF800000"/>
      </patternFill>
    </fill>
    <fill>
      <patternFill patternType="solid">
        <fgColor rgb="FF21A6C9"/>
        <bgColor rgb="FF00CCFF"/>
      </patternFill>
    </fill>
    <fill>
      <patternFill patternType="solid">
        <fgColor rgb="FFCCFFFF"/>
        <bgColor rgb="FFE2F0D9"/>
      </patternFill>
    </fill>
    <fill>
      <patternFill patternType="solid">
        <fgColor rgb="FF00CCFF"/>
        <bgColor rgb="FF21A6C9"/>
      </patternFill>
    </fill>
    <fill>
      <patternFill patternType="solid">
        <fgColor rgb="FF00B050"/>
        <bgColor rgb="FF008080"/>
      </patternFill>
    </fill>
    <fill>
      <patternFill patternType="solid">
        <fgColor rgb="FF66FFFF"/>
        <bgColor rgb="FF99FFCC"/>
      </patternFill>
    </fill>
    <fill>
      <patternFill patternType="solid">
        <fgColor rgb="FFF4C9C8"/>
        <bgColor rgb="FFF8CBAD"/>
      </patternFill>
    </fill>
    <fill>
      <patternFill patternType="solid">
        <fgColor theme="2"/>
        <bgColor rgb="FFDAE3F3"/>
      </patternFill>
    </fill>
    <fill>
      <patternFill patternType="solid">
        <fgColor theme="4" tint="0.5998"/>
        <bgColor rgb="FFB4C7E7"/>
      </patternFill>
    </fill>
    <fill>
      <patternFill patternType="solid">
        <fgColor rgb="FF99FFCC"/>
        <bgColor rgb="FF66FFFF"/>
      </patternFill>
    </fill>
    <fill>
      <patternFill patternType="solid">
        <fgColor rgb="FFCCFF99"/>
        <bgColor rgb="FFC5E0B4"/>
      </patternFill>
    </fill>
    <fill>
      <patternFill patternType="solid">
        <fgColor rgb="FFFFCCFF"/>
        <bgColor rgb="FFF4C9C8"/>
      </patternFill>
    </fill>
    <fill>
      <patternFill patternType="solid">
        <fgColor rgb="FFFFC000"/>
        <bgColor rgb="FFFFFF00"/>
      </patternFill>
    </fill>
    <fill>
      <patternFill patternType="solid">
        <fgColor theme="9" tint="0.7998"/>
        <bgColor rgb="FFE7E6E6"/>
      </patternFill>
    </fill>
    <fill>
      <patternFill patternType="solid">
        <fgColor rgb="FFD63431"/>
        <bgColor rgb="FFC55A11"/>
      </patternFill>
    </fill>
    <fill>
      <patternFill patternType="solid">
        <fgColor theme="6" tint="0.3998"/>
        <bgColor rgb="FFC0C0C0"/>
      </patternFill>
    </fill>
    <fill>
      <patternFill patternType="solid">
        <fgColor rgb="FFC0C0C0"/>
        <bgColor rgb="FFC9C9C9"/>
      </patternFill>
    </fill>
    <fill>
      <patternFill patternType="solid">
        <fgColor rgb="FF002060"/>
        <bgColor rgb="FF000080"/>
      </patternFill>
    </fill>
    <fill>
      <patternFill patternType="solid">
        <fgColor theme="9" tint="0.3998"/>
        <bgColor rgb="FFC5E0B4"/>
      </patternFill>
    </fill>
    <fill>
      <patternFill patternType="solid">
        <fgColor theme="7" tint="0.7998"/>
        <bgColor rgb="FFFBE5D6"/>
      </patternFill>
    </fill>
    <fill>
      <patternFill patternType="solid">
        <fgColor theme="0" tint="-0.5"/>
        <bgColor rgb="FF999999"/>
      </patternFill>
    </fill>
  </fills>
  <borders count="43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>
        <color rgb="FFFFC000"/>
      </left>
      <right/>
      <top style="medium">
        <color rgb="FFFFC000"/>
      </top>
      <bottom style="medium">
        <color rgb="FFFFC000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double"/>
      <right style="double"/>
      <top style="double"/>
      <bottom/>
      <diagonal/>
    </border>
    <border diagonalUp="false" diagonalDown="false">
      <left style="double"/>
      <right style="double"/>
      <top/>
      <bottom style="double"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 style="medium"/>
      <right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/>
      <right style="medium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9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9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2" fillId="9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1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12" fillId="1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7" fillId="0" borderId="3" xfId="0" applyFont="true" applyBorder="true" applyAlignment="true" applyProtection="false">
      <alignment horizontal="justify" vertical="bottom" textRotation="0" wrapText="false" indent="0" shrinkToFit="false"/>
      <protection locked="true" hidden="false"/>
    </xf>
    <xf numFmtId="165" fontId="1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" fillId="0" borderId="3" xfId="0" applyFont="true" applyBorder="true" applyAlignment="true" applyProtection="false">
      <alignment horizontal="justify" vertical="bottom" textRotation="0" wrapText="true" indent="0" shrinkToFit="false"/>
      <protection locked="true" hidden="false"/>
    </xf>
    <xf numFmtId="165" fontId="18" fillId="11" borderId="3" xfId="0" applyFont="true" applyBorder="true" applyAlignment="true" applyProtection="false">
      <alignment horizontal="justify" vertical="bottom" textRotation="0" wrapText="true" indent="0" shrinkToFit="false"/>
      <protection locked="true" hidden="false"/>
    </xf>
    <xf numFmtId="165" fontId="18" fillId="1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11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6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6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3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11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9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9" borderId="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20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1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9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21" fillId="0" borderId="1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1" fillId="0" borderId="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3" fillId="6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6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6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9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9" borderId="1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9" fillId="1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2" fillId="1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8" borderId="3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65" fontId="12" fillId="9" borderId="3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4" fillId="1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14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5" fillId="1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5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5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6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1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7" fillId="1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7" fillId="16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16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28" fillId="17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18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9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20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21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1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8" fillId="17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2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22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26" fillId="22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26" fillId="22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26" fillId="2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23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30" fillId="2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1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14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31" fillId="14" borderId="2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32" fillId="2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24" borderId="19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6" fontId="33" fillId="24" borderId="1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26" fillId="22" borderId="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26" fillId="22" borderId="3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2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3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25" fillId="15" borderId="2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32" fillId="25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25" borderId="19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6" fontId="33" fillId="25" borderId="1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6" fontId="26" fillId="22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25" fillId="15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5" fillId="15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5" fillId="15" borderId="2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6" fillId="13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26" fillId="13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6" fontId="26" fillId="22" borderId="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32" fillId="26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26" borderId="19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6" fontId="33" fillId="26" borderId="1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25" fillId="15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5" fillId="1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5" fillId="15" borderId="2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33" fillId="26" borderId="1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6" fillId="27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26" fillId="27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27" fillId="16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7" fillId="16" borderId="3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27" fillId="16" borderId="26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4" fontId="32" fillId="2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20" borderId="19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6" fontId="33" fillId="20" borderId="1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6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26" fillId="0" borderId="26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7" fontId="2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6" fillId="3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26" fillId="22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7" fontId="26" fillId="22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26" fillId="3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7" fontId="26" fillId="2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6" fillId="0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34" fillId="28" borderId="28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4" fontId="28" fillId="17" borderId="2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8" fillId="17" borderId="2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35" fillId="17" borderId="24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4" fontId="26" fillId="2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6" fillId="24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26" fillId="24" borderId="26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4" fontId="36" fillId="29" borderId="2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6" fillId="29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29" borderId="26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26" fillId="3" borderId="2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3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6" fillId="3" borderId="2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26" fillId="3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6" fillId="3" borderId="2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26" fillId="3" borderId="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6" fillId="3" borderId="2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3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8" fillId="1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9" fillId="15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1" fillId="1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1" fillId="16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7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2" fillId="21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2" fillId="21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3" fillId="1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1" fillId="16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1" fillId="16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1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37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6" fillId="4" borderId="1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37" fillId="0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9" fontId="42" fillId="21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37" fillId="17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37" fillId="1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7" fillId="1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37" fillId="1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1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1" fillId="1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4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48" fillId="12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49" fillId="8" borderId="1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49" fillId="12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49" fillId="12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50" fillId="12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50" fillId="1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50" fillId="12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47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9" fillId="8" borderId="1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51" fillId="12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9" fillId="12" borderId="1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51" fillId="12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51" fillId="1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51" fillId="12" borderId="19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51" fillId="8" borderId="1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49" fillId="8" borderId="1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51" fillId="12" borderId="19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70" fontId="52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5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2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48" fillId="9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8" fillId="9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48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1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1" fillId="3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51" fillId="3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51" fillId="3" borderId="3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70" fontId="48" fillId="3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8" fillId="30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48" fillId="30" borderId="3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2" fontId="53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54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3" fillId="3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37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8" fillId="1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8" fillId="1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8" fillId="1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5" fillId="1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1" fillId="1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2" fillId="2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6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4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3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6" fillId="18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18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1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6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2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6" fillId="29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7" fillId="1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4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8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28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8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28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0" fillId="28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0" fillId="2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59" fillId="28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60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1" fillId="2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2" fillId="2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3" fillId="2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9" fillId="2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4" fillId="2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5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5" fillId="2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7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66" fillId="2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61" fillId="2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8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77" fontId="0" fillId="28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5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7" fillId="2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5" fontId="67" fillId="2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4" fillId="2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0" fillId="2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60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1" fillId="2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8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5" fillId="15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7" fillId="1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44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2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2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2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8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12" fillId="0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0" fontId="44" fillId="0" borderId="3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70" fontId="68" fillId="0" borderId="3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70" fontId="6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4" fillId="12" borderId="3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70" fontId="44" fillId="31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6" fillId="1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44" fillId="1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8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8" fillId="0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6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29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9" fillId="3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7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0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4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9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9" fillId="1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6" fillId="1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6" fillId="16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1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6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0" fillId="0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0" fillId="0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2" fillId="21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2" fillId="21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2" fillId="21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2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2" fillId="2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2" fillId="3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6" fillId="16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6" fillId="1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6" fillId="15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0" fillId="0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7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2" fillId="21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2" fillId="21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1" fillId="3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6" fillId="1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36" fillId="1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36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16" borderId="1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36" fillId="1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73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73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7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9" fillId="1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9" fillId="1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1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1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35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1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6" fillId="16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6" fillId="1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35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6" fillId="15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5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4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4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4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9" fillId="14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13" fillId="1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34" fillId="3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34" fillId="1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26" fillId="3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2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16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5" fontId="26" fillId="3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26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4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75" fontId="34" fillId="18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15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36" fillId="15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4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4" fillId="1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7" fillId="14" borderId="2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7" fillId="1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7" fillId="14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8" fillId="3" borderId="2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9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9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9" fillId="0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8" fillId="0" borderId="2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7" fillId="14" borderId="2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7" fillId="14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7" fillId="1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7" fillId="14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9" fillId="3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9" fillId="3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17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9" fillId="3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2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9" fillId="3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9" fillId="0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2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79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9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9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9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9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9" fillId="0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8" fillId="2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2" fillId="3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2" fillId="33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2" fillId="33" borderId="2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2" fillId="3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7" fillId="17" borderId="3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83" fillId="17" borderId="3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57" fillId="17" borderId="3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57" fillId="17" borderId="3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7" fillId="17" borderId="3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7" fillId="17" borderId="3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4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37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7" fillId="17" borderId="3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83" fillId="17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7" fillId="17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57" fillId="17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57" fillId="17" borderId="4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7" fillId="17" borderId="4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0" fillId="0" borderId="3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4" fillId="0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4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3" fillId="2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3" fillId="2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3" fillId="2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3" fillId="20" borderId="28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color rgb="FFC00000"/>
      </font>
    </dxf>
    <dxf>
      <fill>
        <patternFill>
          <bgColor theme="8" tint="0.5998"/>
        </patternFill>
      </fill>
    </dxf>
  </dxfs>
  <colors>
    <indexedColors>
      <rgbColor rgb="FF000000"/>
      <rgbColor rgb="FFFFFFFF"/>
      <rgbColor rgb="FFFF0000"/>
      <rgbColor rgb="FFF2F2F2"/>
      <rgbColor rgb="FF0000FF"/>
      <rgbColor rgb="FFFFFF00"/>
      <rgbColor rgb="FFFF00FF"/>
      <rgbColor rgb="FF66FFFF"/>
      <rgbColor rgb="FF800000"/>
      <rgbColor rgb="FF008000"/>
      <rgbColor rgb="FF000080"/>
      <rgbColor rgb="FFDAE3F3"/>
      <rgbColor rgb="FF800080"/>
      <rgbColor rgb="FF166B7F"/>
      <rgbColor rgb="FFC0C0C0"/>
      <rgbColor rgb="FF808080"/>
      <rgbColor rgb="FFADB9CA"/>
      <rgbColor rgb="FFD63431"/>
      <rgbColor rgb="FFFFF2CC"/>
      <rgbColor rgb="FFCCFFFF"/>
      <rgbColor rgb="FF660066"/>
      <rgbColor rgb="FFC9C9C9"/>
      <rgbColor rgb="FF0066CC"/>
      <rgbColor rgb="FFBDD7EE"/>
      <rgbColor rgb="FF000080"/>
      <rgbColor rgb="FFFF00FF"/>
      <rgbColor rgb="FFC5E0B4"/>
      <rgbColor rgb="FF99FFCC"/>
      <rgbColor rgb="FF800080"/>
      <rgbColor rgb="FFC00000"/>
      <rgbColor rgb="FF008080"/>
      <rgbColor rgb="FF0000FF"/>
      <rgbColor rgb="FF00CCFF"/>
      <rgbColor rgb="FFE2F0D9"/>
      <rgbColor rgb="FFCCFF99"/>
      <rgbColor rgb="FFFBE5D6"/>
      <rgbColor rgb="FF9DC3E6"/>
      <rgbColor rgb="FFF4C9C8"/>
      <rgbColor rgb="FFAFABAB"/>
      <rgbColor rgb="FFF8CBAD"/>
      <rgbColor rgb="FFE7E6E6"/>
      <rgbColor rgb="FF21A6C9"/>
      <rgbColor rgb="FFA9D18E"/>
      <rgbColor rgb="FFFFC000"/>
      <rgbColor rgb="FFFFCCFF"/>
      <rgbColor rgb="FFC55A11"/>
      <rgbColor rgb="FFB4C7E7"/>
      <rgbColor rgb="FF999999"/>
      <rgbColor rgb="FF002060"/>
      <rgbColor rgb="FF00B050"/>
      <rgbColor rgb="FF003300"/>
      <rgbColor rgb="FF333300"/>
      <rgbColor rgb="FF7F1F1F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5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6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7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B5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2" min="1" style="0" width="24"/>
    <col collapsed="false" customWidth="true" hidden="false" outlineLevel="0" max="3" min="3" style="0" width="42"/>
    <col collapsed="false" customWidth="true" hidden="false" outlineLevel="0" max="4" min="4" style="0" width="32"/>
    <col collapsed="false" customWidth="true" hidden="false" outlineLevel="0" max="5" min="5" style="0" width="34"/>
    <col collapsed="false" customWidth="true" hidden="false" outlineLevel="0" max="6" min="6" style="0" width="30"/>
  </cols>
  <sheetData>
    <row r="1" customFormat="false" ht="19.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true" outlineLevel="0" collapsed="false">
      <c r="A2" s="2" t="s">
        <v>1</v>
      </c>
      <c r="B2" s="2"/>
      <c r="C2" s="2"/>
      <c r="D2" s="2"/>
      <c r="E2" s="2"/>
      <c r="F2" s="2"/>
    </row>
    <row r="4" customFormat="false" ht="9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90" hidden="false" customHeight="true" outlineLevel="0" collapsed="false">
      <c r="A5" s="4" t="n">
        <v>1</v>
      </c>
      <c r="B5" s="4" t="s">
        <v>8</v>
      </c>
      <c r="C5" s="4" t="s">
        <v>9</v>
      </c>
      <c r="D5" s="4" t="s">
        <v>10</v>
      </c>
      <c r="E5" s="4" t="s">
        <v>11</v>
      </c>
      <c r="F5" s="4" t="s">
        <v>12</v>
      </c>
    </row>
    <row r="6" customFormat="false" ht="90" hidden="false" customHeight="true" outlineLevel="0" collapsed="false">
      <c r="A6" s="4" t="n">
        <v>2</v>
      </c>
      <c r="B6" s="4" t="s">
        <v>13</v>
      </c>
      <c r="C6" s="4" t="s">
        <v>14</v>
      </c>
      <c r="D6" s="4" t="s">
        <v>15</v>
      </c>
      <c r="E6" s="4" t="s">
        <v>16</v>
      </c>
      <c r="F6" s="4" t="s">
        <v>17</v>
      </c>
    </row>
    <row r="7" customFormat="false" ht="90" hidden="false" customHeight="true" outlineLevel="0" collapsed="false">
      <c r="A7" s="4" t="n">
        <v>3</v>
      </c>
      <c r="B7" s="4" t="s">
        <v>18</v>
      </c>
      <c r="C7" s="4" t="s">
        <v>19</v>
      </c>
      <c r="D7" s="4" t="s">
        <v>20</v>
      </c>
      <c r="E7" s="4" t="s">
        <v>21</v>
      </c>
      <c r="F7" s="4" t="s">
        <v>22</v>
      </c>
    </row>
    <row r="8" customFormat="false" ht="90" hidden="false" customHeight="true" outlineLevel="0" collapsed="false">
      <c r="A8" s="4" t="n">
        <v>4</v>
      </c>
      <c r="B8" s="4" t="s">
        <v>23</v>
      </c>
      <c r="C8" s="4" t="s">
        <v>24</v>
      </c>
      <c r="D8" s="4" t="s">
        <v>25</v>
      </c>
      <c r="E8" s="4" t="s">
        <v>26</v>
      </c>
      <c r="F8" s="4" t="s">
        <v>27</v>
      </c>
    </row>
    <row r="9" customFormat="false" ht="90" hidden="false" customHeight="true" outlineLevel="0" collapsed="false">
      <c r="A9" s="4" t="n">
        <v>5</v>
      </c>
      <c r="B9" s="4" t="s">
        <v>28</v>
      </c>
      <c r="C9" s="4" t="s">
        <v>29</v>
      </c>
      <c r="D9" s="4" t="s">
        <v>30</v>
      </c>
      <c r="E9" s="4" t="s">
        <v>31</v>
      </c>
      <c r="F9" s="4" t="s">
        <v>32</v>
      </c>
    </row>
    <row r="10" customFormat="false" ht="90" hidden="false" customHeight="true" outlineLevel="0" collapsed="false">
      <c r="A10" s="4" t="n">
        <v>6</v>
      </c>
      <c r="B10" s="4" t="s">
        <v>33</v>
      </c>
      <c r="C10" s="4" t="s">
        <v>34</v>
      </c>
      <c r="D10" s="4" t="s">
        <v>35</v>
      </c>
      <c r="E10" s="4" t="s">
        <v>36</v>
      </c>
      <c r="F10" s="4" t="s">
        <v>37</v>
      </c>
    </row>
    <row r="11" customFormat="false" ht="90" hidden="false" customHeight="true" outlineLevel="0" collapsed="false">
      <c r="A11" s="4" t="n">
        <v>7</v>
      </c>
      <c r="B11" s="4" t="s">
        <v>38</v>
      </c>
      <c r="C11" s="4" t="s">
        <v>39</v>
      </c>
      <c r="D11" s="4" t="s">
        <v>40</v>
      </c>
      <c r="E11" s="4" t="s">
        <v>41</v>
      </c>
      <c r="F11" s="4" t="s">
        <v>42</v>
      </c>
    </row>
    <row r="14" customFormat="false" ht="14.25" hidden="false" customHeight="false" outlineLevel="0" collapsed="false">
      <c r="A14" s="5" t="s">
        <v>43</v>
      </c>
    </row>
    <row r="15" customFormat="false" ht="14.25" hidden="false" customHeight="false" outlineLevel="0" collapsed="false">
      <c r="A15" s="6" t="s">
        <v>44</v>
      </c>
      <c r="B15" s="6" t="s">
        <v>45</v>
      </c>
      <c r="C15" s="6" t="s">
        <v>46</v>
      </c>
    </row>
    <row r="16" customFormat="false" ht="14.25" hidden="false" customHeight="false" outlineLevel="0" collapsed="false">
      <c r="A16" s="7" t="s">
        <v>47</v>
      </c>
      <c r="B16" s="7" t="s">
        <v>48</v>
      </c>
      <c r="C16" s="7" t="s">
        <v>49</v>
      </c>
    </row>
    <row r="17" customFormat="false" ht="14.25" hidden="false" customHeight="false" outlineLevel="0" collapsed="false">
      <c r="A17" s="7" t="s">
        <v>50</v>
      </c>
      <c r="B17" s="7" t="s">
        <v>51</v>
      </c>
      <c r="C17" s="7" t="s">
        <v>52</v>
      </c>
    </row>
    <row r="18" customFormat="false" ht="14.25" hidden="false" customHeight="false" outlineLevel="0" collapsed="false">
      <c r="A18" s="7" t="s">
        <v>53</v>
      </c>
      <c r="B18" s="7" t="s">
        <v>54</v>
      </c>
      <c r="C18" s="7" t="s">
        <v>55</v>
      </c>
    </row>
    <row r="19" customFormat="false" ht="14.25" hidden="false" customHeight="false" outlineLevel="0" collapsed="false">
      <c r="A19" s="7" t="s">
        <v>56</v>
      </c>
      <c r="B19" s="7" t="s">
        <v>57</v>
      </c>
      <c r="C19" s="7" t="s">
        <v>58</v>
      </c>
    </row>
    <row r="20" customFormat="false" ht="14.25" hidden="false" customHeight="false" outlineLevel="0" collapsed="false">
      <c r="A20" s="7" t="s">
        <v>59</v>
      </c>
      <c r="B20" s="7" t="s">
        <v>60</v>
      </c>
      <c r="C20" s="7" t="s">
        <v>61</v>
      </c>
    </row>
    <row r="21" customFormat="false" ht="14.25" hidden="false" customHeight="false" outlineLevel="0" collapsed="false">
      <c r="A21" s="7" t="s">
        <v>62</v>
      </c>
      <c r="B21" s="7" t="s">
        <v>63</v>
      </c>
      <c r="C21" s="7" t="s">
        <v>64</v>
      </c>
    </row>
    <row r="22" customFormat="false" ht="14.25" hidden="false" customHeight="false" outlineLevel="0" collapsed="false">
      <c r="A22" s="7" t="s">
        <v>65</v>
      </c>
      <c r="B22" s="7" t="s">
        <v>66</v>
      </c>
      <c r="C22" s="7" t="s">
        <v>67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15"/>
  <sheetViews>
    <sheetView showFormulas="false" showGridLines="true" showRowColHeaders="true" showZeros="true" rightToLeft="false" tabSelected="false" showOutlineSymbols="true" defaultGridColor="true" view="normal" topLeftCell="A108" colorId="64" zoomScale="120" zoomScaleNormal="120" zoomScalePageLayoutView="100" workbookViewId="0">
      <selection pane="topLeft" activeCell="A1" activeCellId="0" sqref="A1"/>
    </sheetView>
  </sheetViews>
  <sheetFormatPr defaultColWidth="11.453125" defaultRowHeight="12" zeroHeight="false" outlineLevelRow="0" outlineLevelCol="0"/>
  <cols>
    <col collapsed="false" customWidth="true" hidden="false" outlineLevel="0" max="1" min="1" style="8" width="37.18"/>
    <col collapsed="false" customWidth="true" hidden="false" outlineLevel="0" max="2" min="2" style="8" width="9.45"/>
    <col collapsed="false" customWidth="true" hidden="false" outlineLevel="0" max="3" min="3" style="8" width="9.54"/>
    <col collapsed="false" customWidth="true" hidden="false" outlineLevel="0" max="4" min="4" style="8" width="14.45"/>
    <col collapsed="false" customWidth="true" hidden="false" outlineLevel="0" max="5" min="5" style="8" width="10.82"/>
    <col collapsed="false" customWidth="true" hidden="false" outlineLevel="0" max="6" min="6" style="8" width="14.09"/>
    <col collapsed="false" customWidth="true" hidden="false" outlineLevel="0" max="7" min="7" style="8" width="10"/>
    <col collapsed="false" customWidth="true" hidden="false" outlineLevel="0" max="8" min="8" style="8" width="11.54"/>
    <col collapsed="false" customWidth="true" hidden="false" outlineLevel="0" max="9" min="9" style="8" width="12.54"/>
    <col collapsed="false" customWidth="true" hidden="false" outlineLevel="0" max="10" min="10" style="8" width="3.45"/>
    <col collapsed="false" customWidth="false" hidden="false" outlineLevel="0" max="16384" min="11" style="8" width="11.45"/>
  </cols>
  <sheetData>
    <row r="1" customFormat="false" ht="12.75" hidden="false" customHeight="true" outlineLevel="0" collapsed="false">
      <c r="A1" s="9"/>
      <c r="B1" s="9"/>
      <c r="C1" s="9"/>
      <c r="D1" s="9"/>
      <c r="E1" s="9"/>
      <c r="F1" s="9"/>
      <c r="G1" s="9"/>
      <c r="H1" s="9"/>
      <c r="I1" s="9"/>
      <c r="J1" s="9"/>
    </row>
    <row r="2" customFormat="false" ht="25.5" hidden="false" customHeight="true" outlineLevel="0" collapsed="false">
      <c r="A2" s="10" t="s">
        <v>68</v>
      </c>
      <c r="B2" s="10"/>
      <c r="C2" s="10"/>
      <c r="D2" s="10"/>
      <c r="E2" s="10"/>
      <c r="F2" s="10"/>
      <c r="G2" s="10"/>
      <c r="H2" s="10"/>
      <c r="I2" s="10"/>
      <c r="J2" s="9"/>
    </row>
    <row r="3" customFormat="false" ht="12.75" hidden="false" customHeight="true" outlineLevel="0" collapsed="false">
      <c r="A3" s="11"/>
      <c r="B3" s="11"/>
      <c r="C3" s="11"/>
      <c r="D3" s="11"/>
      <c r="E3" s="11"/>
      <c r="F3" s="11"/>
      <c r="G3" s="11"/>
      <c r="H3" s="11"/>
      <c r="I3" s="11"/>
      <c r="J3" s="9"/>
    </row>
    <row r="4" customFormat="false" ht="12.75" hidden="false" customHeight="true" outlineLevel="0" collapsed="false">
      <c r="A4" s="12" t="s">
        <v>69</v>
      </c>
      <c r="B4" s="12"/>
      <c r="C4" s="12"/>
      <c r="D4" s="12"/>
      <c r="E4" s="12"/>
      <c r="F4" s="12"/>
      <c r="G4" s="12"/>
      <c r="H4" s="12"/>
      <c r="I4" s="12"/>
      <c r="J4" s="9"/>
    </row>
    <row r="5" customFormat="false" ht="6" hidden="false" customHeight="true" outlineLevel="0" collapsed="false">
      <c r="A5" s="11"/>
      <c r="B5" s="11"/>
      <c r="C5" s="11"/>
      <c r="D5" s="11"/>
      <c r="E5" s="11"/>
      <c r="F5" s="11"/>
      <c r="G5" s="11"/>
      <c r="H5" s="11"/>
      <c r="I5" s="11"/>
      <c r="J5" s="9"/>
    </row>
    <row r="6" customFormat="false" ht="12.75" hidden="false" customHeight="true" outlineLevel="0" collapsed="false">
      <c r="A6" s="13" t="s">
        <v>70</v>
      </c>
      <c r="B6" s="14" t="s">
        <v>71</v>
      </c>
      <c r="C6" s="14" t="s">
        <v>72</v>
      </c>
      <c r="D6" s="14" t="s">
        <v>73</v>
      </c>
      <c r="E6" s="14" t="s">
        <v>74</v>
      </c>
      <c r="F6" s="14" t="s">
        <v>75</v>
      </c>
      <c r="G6" s="15" t="s">
        <v>76</v>
      </c>
      <c r="H6" s="15" t="s">
        <v>77</v>
      </c>
      <c r="I6" s="15" t="s">
        <v>78</v>
      </c>
      <c r="J6" s="9"/>
    </row>
    <row r="7" customFormat="false" ht="12.75" hidden="false" customHeight="true" outlineLevel="0" collapsed="false">
      <c r="A7" s="16" t="s">
        <v>79</v>
      </c>
      <c r="B7" s="17" t="s">
        <v>80</v>
      </c>
      <c r="C7" s="17" t="n">
        <v>0</v>
      </c>
      <c r="D7" s="17" t="n">
        <f aca="false">E7/4</f>
        <v>0</v>
      </c>
      <c r="E7" s="17" t="n">
        <f aca="false">C7*25</f>
        <v>0</v>
      </c>
      <c r="F7" s="17" t="n">
        <v>0</v>
      </c>
      <c r="G7" s="18" t="n">
        <v>2</v>
      </c>
      <c r="H7" s="19" t="n">
        <v>90000</v>
      </c>
      <c r="I7" s="20" t="n">
        <f aca="false">G7*H7</f>
        <v>180000</v>
      </c>
      <c r="J7" s="9"/>
    </row>
    <row r="8" customFormat="false" ht="12.75" hidden="false" customHeight="true" outlineLevel="0" collapsed="false">
      <c r="A8" s="16" t="s">
        <v>81</v>
      </c>
      <c r="B8" s="17" t="s">
        <v>82</v>
      </c>
      <c r="C8" s="17" t="n">
        <v>0</v>
      </c>
      <c r="D8" s="17" t="n">
        <f aca="false">E8/4</f>
        <v>0</v>
      </c>
      <c r="E8" s="17" t="n">
        <f aca="false">C8*25</f>
        <v>0</v>
      </c>
      <c r="F8" s="17" t="n">
        <v>0</v>
      </c>
      <c r="G8" s="18" t="n">
        <v>4</v>
      </c>
      <c r="H8" s="19" t="n">
        <v>15000</v>
      </c>
      <c r="I8" s="20" t="n">
        <f aca="false">G8*H8</f>
        <v>60000</v>
      </c>
      <c r="J8" s="9"/>
    </row>
    <row r="9" customFormat="false" ht="12.75" hidden="false" customHeight="true" outlineLevel="0" collapsed="false">
      <c r="A9" s="16" t="s">
        <v>83</v>
      </c>
      <c r="B9" s="17" t="s">
        <v>84</v>
      </c>
      <c r="C9" s="17"/>
      <c r="D9" s="17"/>
      <c r="E9" s="17"/>
      <c r="F9" s="17" t="n">
        <v>0</v>
      </c>
      <c r="G9" s="18" t="n">
        <v>2</v>
      </c>
      <c r="H9" s="19" t="n">
        <v>20000</v>
      </c>
      <c r="I9" s="20" t="n">
        <f aca="false">G9*H9</f>
        <v>40000</v>
      </c>
      <c r="J9" s="9"/>
    </row>
    <row r="10" customFormat="false" ht="12.75" hidden="false" customHeight="true" outlineLevel="0" collapsed="false">
      <c r="A10" s="16" t="s">
        <v>85</v>
      </c>
      <c r="B10" s="17" t="s">
        <v>84</v>
      </c>
      <c r="C10" s="17"/>
      <c r="D10" s="17"/>
      <c r="E10" s="17" t="n">
        <v>0</v>
      </c>
      <c r="F10" s="17" t="n">
        <v>0</v>
      </c>
      <c r="G10" s="18" t="n">
        <v>2</v>
      </c>
      <c r="H10" s="19" t="n">
        <v>20000</v>
      </c>
      <c r="I10" s="20" t="n">
        <f aca="false">G10*H10</f>
        <v>40000</v>
      </c>
      <c r="J10" s="9"/>
    </row>
    <row r="11" customFormat="false" ht="12.75" hidden="false" customHeight="true" outlineLevel="0" collapsed="false">
      <c r="A11" s="16" t="s">
        <v>86</v>
      </c>
      <c r="B11" s="17" t="s">
        <v>87</v>
      </c>
      <c r="C11" s="17" t="n">
        <v>0</v>
      </c>
      <c r="D11" s="17"/>
      <c r="E11" s="17"/>
      <c r="F11" s="17" t="n">
        <v>0</v>
      </c>
      <c r="G11" s="18" t="n">
        <v>1</v>
      </c>
      <c r="H11" s="19" t="n">
        <v>60000</v>
      </c>
      <c r="I11" s="20" t="n">
        <f aca="false">G11*H11</f>
        <v>60000</v>
      </c>
      <c r="J11" s="9"/>
    </row>
    <row r="12" customFormat="false" ht="12.75" hidden="false" customHeight="true" outlineLevel="0" collapsed="false">
      <c r="A12" s="21" t="s">
        <v>88</v>
      </c>
      <c r="B12" s="22" t="s">
        <v>87</v>
      </c>
      <c r="C12" s="17"/>
      <c r="D12" s="17"/>
      <c r="E12" s="17" t="n">
        <v>0</v>
      </c>
      <c r="F12" s="17" t="n">
        <v>0</v>
      </c>
      <c r="G12" s="18" t="n">
        <v>1</v>
      </c>
      <c r="H12" s="19" t="n">
        <v>120000</v>
      </c>
      <c r="I12" s="20" t="n">
        <f aca="false">G12*H12</f>
        <v>120000</v>
      </c>
      <c r="J12" s="9"/>
    </row>
    <row r="13" customFormat="false" ht="12.75" hidden="false" customHeight="true" outlineLevel="0" collapsed="false">
      <c r="A13" s="23" t="s">
        <v>89</v>
      </c>
      <c r="B13" s="24"/>
      <c r="C13" s="25"/>
      <c r="D13" s="25" t="n">
        <f aca="false">SUM(D7:D9)</f>
        <v>0</v>
      </c>
      <c r="E13" s="25" t="n">
        <f aca="false">SUM(E7:E9)</f>
        <v>0</v>
      </c>
      <c r="F13" s="25" t="n">
        <v>0</v>
      </c>
      <c r="G13" s="25" t="n">
        <v>0</v>
      </c>
      <c r="H13" s="25"/>
      <c r="I13" s="25" t="n">
        <f aca="false">SUM(I7:I12)</f>
        <v>500000</v>
      </c>
      <c r="J13" s="9"/>
      <c r="K13" s="8" t="n">
        <f aca="false">I13/12</f>
        <v>41666.6666666667</v>
      </c>
    </row>
    <row r="14" customFormat="false" ht="12.75" hidden="false" customHeight="true" outlineLevel="0" collapsed="false">
      <c r="A14" s="11"/>
      <c r="B14" s="11"/>
      <c r="C14" s="11"/>
      <c r="D14" s="11"/>
      <c r="E14" s="11"/>
      <c r="F14" s="11"/>
      <c r="G14" s="11"/>
      <c r="H14" s="11"/>
      <c r="I14" s="11"/>
      <c r="J14" s="9"/>
      <c r="K14" s="8" t="n">
        <f aca="false">K13*3</f>
        <v>125000</v>
      </c>
    </row>
    <row r="15" customFormat="false" ht="12.75" hidden="false" customHeight="true" outlineLevel="0" collapsed="false">
      <c r="A15" s="12" t="s">
        <v>90</v>
      </c>
      <c r="B15" s="12"/>
      <c r="C15" s="12"/>
      <c r="D15" s="12"/>
      <c r="E15" s="12"/>
      <c r="F15" s="12"/>
      <c r="G15" s="12"/>
      <c r="H15" s="12"/>
      <c r="I15" s="12"/>
      <c r="J15" s="9"/>
      <c r="L15" s="8" t="n">
        <f aca="false">I13/12</f>
        <v>41666.6666666667</v>
      </c>
    </row>
    <row r="16" customFormat="false" ht="6" hidden="false" customHeight="true" outlineLevel="0" collapsed="false">
      <c r="A16" s="11"/>
      <c r="B16" s="11"/>
      <c r="C16" s="11"/>
      <c r="D16" s="11"/>
      <c r="E16" s="11"/>
      <c r="F16" s="11"/>
      <c r="G16" s="11"/>
      <c r="H16" s="11"/>
      <c r="I16" s="11"/>
      <c r="J16" s="9"/>
    </row>
    <row r="17" customFormat="false" ht="12.75" hidden="false" customHeight="true" outlineLevel="0" collapsed="false">
      <c r="A17" s="13" t="s">
        <v>70</v>
      </c>
      <c r="B17" s="14" t="s">
        <v>71</v>
      </c>
      <c r="C17" s="14" t="s">
        <v>72</v>
      </c>
      <c r="D17" s="14" t="s">
        <v>73</v>
      </c>
      <c r="E17" s="14" t="s">
        <v>74</v>
      </c>
      <c r="F17" s="14" t="s">
        <v>75</v>
      </c>
      <c r="G17" s="15" t="s">
        <v>76</v>
      </c>
      <c r="H17" s="15" t="s">
        <v>77</v>
      </c>
      <c r="I17" s="15" t="s">
        <v>78</v>
      </c>
      <c r="J17" s="9"/>
    </row>
    <row r="18" customFormat="false" ht="12.75" hidden="false" customHeight="true" outlineLevel="0" collapsed="false">
      <c r="A18" s="16" t="s">
        <v>91</v>
      </c>
      <c r="B18" s="17" t="s">
        <v>92</v>
      </c>
      <c r="C18" s="17" t="n">
        <v>0</v>
      </c>
      <c r="D18" s="17" t="n">
        <f aca="false">E18/4</f>
        <v>0</v>
      </c>
      <c r="E18" s="17" t="n">
        <v>0</v>
      </c>
      <c r="F18" s="17" t="n">
        <v>0</v>
      </c>
      <c r="G18" s="18" t="n">
        <v>1</v>
      </c>
      <c r="H18" s="19" t="n">
        <v>50000</v>
      </c>
      <c r="I18" s="20" t="n">
        <f aca="false">G18*H18</f>
        <v>50000</v>
      </c>
      <c r="J18" s="9"/>
    </row>
    <row r="19" customFormat="false" ht="12.75" hidden="false" customHeight="true" outlineLevel="0" collapsed="false">
      <c r="A19" s="16" t="s">
        <v>93</v>
      </c>
      <c r="B19" s="17" t="s">
        <v>87</v>
      </c>
      <c r="C19" s="17"/>
      <c r="D19" s="17"/>
      <c r="E19" s="17" t="n">
        <v>0</v>
      </c>
      <c r="F19" s="17" t="n">
        <f aca="false">E19*3</f>
        <v>0</v>
      </c>
      <c r="G19" s="18" t="n">
        <v>1</v>
      </c>
      <c r="H19" s="19" t="n">
        <v>7500</v>
      </c>
      <c r="I19" s="20" t="n">
        <f aca="false">G19*H19</f>
        <v>7500</v>
      </c>
      <c r="J19" s="9"/>
      <c r="L19" s="26"/>
    </row>
    <row r="20" customFormat="false" ht="12.75" hidden="false" customHeight="true" outlineLevel="0" collapsed="false">
      <c r="A20" s="16" t="s">
        <v>94</v>
      </c>
      <c r="B20" s="17" t="s">
        <v>92</v>
      </c>
      <c r="C20" s="17"/>
      <c r="D20" s="17"/>
      <c r="E20" s="17"/>
      <c r="F20" s="17"/>
      <c r="G20" s="18" t="n">
        <v>1</v>
      </c>
      <c r="H20" s="19" t="n">
        <v>50000</v>
      </c>
      <c r="I20" s="20" t="n">
        <f aca="false">G20*H20</f>
        <v>50000</v>
      </c>
      <c r="J20" s="9"/>
      <c r="L20" s="8" t="n">
        <f aca="false">L19/2</f>
        <v>0</v>
      </c>
    </row>
    <row r="21" customFormat="false" ht="12.75" hidden="false" customHeight="true" outlineLevel="0" collapsed="false">
      <c r="A21" s="16"/>
      <c r="B21" s="17"/>
      <c r="C21" s="17"/>
      <c r="D21" s="17"/>
      <c r="E21" s="17"/>
      <c r="F21" s="17"/>
      <c r="G21" s="18"/>
      <c r="H21" s="19"/>
      <c r="I21" s="20" t="n">
        <f aca="false">+H21*F21</f>
        <v>0</v>
      </c>
      <c r="J21" s="9"/>
    </row>
    <row r="22" customFormat="false" ht="12.75" hidden="false" customHeight="true" outlineLevel="0" collapsed="false">
      <c r="A22" s="21"/>
      <c r="B22" s="22"/>
      <c r="C22" s="17"/>
      <c r="D22" s="17"/>
      <c r="E22" s="17"/>
      <c r="F22" s="17"/>
      <c r="G22" s="18"/>
      <c r="H22" s="22"/>
      <c r="I22" s="20" t="n">
        <f aca="false">+H22*F22</f>
        <v>0</v>
      </c>
      <c r="J22" s="9"/>
    </row>
    <row r="23" customFormat="false" ht="12.75" hidden="false" customHeight="true" outlineLevel="0" collapsed="false">
      <c r="A23" s="23" t="s">
        <v>89</v>
      </c>
      <c r="B23" s="24"/>
      <c r="C23" s="25"/>
      <c r="D23" s="25" t="n">
        <f aca="false">SUM(D18:D20)</f>
        <v>0</v>
      </c>
      <c r="E23" s="25" t="n">
        <f aca="false">SUM(E18:E20)</f>
        <v>0</v>
      </c>
      <c r="F23" s="25" t="n">
        <f aca="false">SUM(F18:F20)</f>
        <v>0</v>
      </c>
      <c r="G23" s="25" t="n">
        <f aca="false">SUM(G18:G20)</f>
        <v>3</v>
      </c>
      <c r="H23" s="25"/>
      <c r="I23" s="25" t="n">
        <f aca="false">SUM(I18:I22)</f>
        <v>107500</v>
      </c>
      <c r="J23" s="9"/>
    </row>
    <row r="24" customFormat="false" ht="12.75" hidden="false" customHeight="true" outlineLevel="0" collapsed="false">
      <c r="A24" s="11"/>
      <c r="B24" s="11"/>
      <c r="C24" s="27"/>
      <c r="D24" s="27"/>
      <c r="E24" s="27"/>
      <c r="F24" s="27"/>
      <c r="G24" s="27"/>
      <c r="H24" s="27"/>
      <c r="I24" s="27"/>
      <c r="J24" s="9"/>
    </row>
    <row r="25" customFormat="false" ht="12.75" hidden="false" customHeight="true" outlineLevel="0" collapsed="false">
      <c r="A25" s="11"/>
      <c r="B25" s="11"/>
      <c r="C25" s="27"/>
      <c r="D25" s="27"/>
      <c r="E25" s="27"/>
      <c r="F25" s="27"/>
      <c r="G25" s="27"/>
      <c r="H25" s="27"/>
      <c r="I25" s="27"/>
      <c r="J25" s="9"/>
    </row>
    <row r="26" customFormat="false" ht="12.75" hidden="false" customHeight="true" outlineLevel="0" collapsed="false">
      <c r="A26" s="12" t="s">
        <v>95</v>
      </c>
      <c r="B26" s="12"/>
      <c r="C26" s="12"/>
      <c r="D26" s="12"/>
      <c r="E26" s="12"/>
      <c r="F26" s="11"/>
      <c r="G26" s="11"/>
      <c r="H26" s="11"/>
      <c r="I26" s="11"/>
      <c r="J26" s="9"/>
    </row>
    <row r="27" customFormat="false" ht="12.75" hidden="false" customHeight="tru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9"/>
    </row>
    <row r="28" customFormat="false" ht="12.75" hidden="false" customHeight="true" outlineLevel="0" collapsed="false">
      <c r="A28" s="12" t="s">
        <v>96</v>
      </c>
      <c r="B28" s="12"/>
      <c r="C28" s="12"/>
      <c r="D28" s="12"/>
      <c r="E28" s="12"/>
      <c r="F28" s="11"/>
      <c r="G28" s="11"/>
      <c r="H28" s="11"/>
      <c r="I28" s="11"/>
      <c r="J28" s="9"/>
    </row>
    <row r="29" customFormat="false" ht="12.75" hidden="false" customHeight="true" outlineLevel="0" collapsed="false">
      <c r="A29" s="28"/>
      <c r="B29" s="11"/>
      <c r="C29" s="29" t="n">
        <v>12</v>
      </c>
      <c r="D29" s="11"/>
      <c r="E29" s="11"/>
      <c r="F29" s="11"/>
      <c r="G29" s="11"/>
      <c r="H29" s="11"/>
      <c r="I29" s="11"/>
      <c r="J29" s="9"/>
    </row>
    <row r="30" customFormat="false" ht="13.5" hidden="false" customHeight="true" outlineLevel="0" collapsed="false">
      <c r="A30" s="30" t="s">
        <v>97</v>
      </c>
      <c r="B30" s="31" t="s">
        <v>98</v>
      </c>
      <c r="C30" s="31"/>
      <c r="D30" s="31" t="s">
        <v>99</v>
      </c>
      <c r="E30" s="31"/>
      <c r="F30" s="31" t="s">
        <v>100</v>
      </c>
      <c r="G30" s="31" t="s">
        <v>101</v>
      </c>
      <c r="H30" s="31" t="s">
        <v>78</v>
      </c>
      <c r="I30" s="11"/>
      <c r="J30" s="9"/>
    </row>
    <row r="31" customFormat="false" ht="12.75" hidden="false" customHeight="true" outlineLevel="0" collapsed="false">
      <c r="A31" s="30"/>
      <c r="B31" s="31" t="s">
        <v>102</v>
      </c>
      <c r="C31" s="31" t="s">
        <v>103</v>
      </c>
      <c r="D31" s="31" t="s">
        <v>102</v>
      </c>
      <c r="E31" s="31" t="s">
        <v>103</v>
      </c>
      <c r="F31" s="31"/>
      <c r="G31" s="31"/>
      <c r="H31" s="31" t="s">
        <v>104</v>
      </c>
      <c r="I31" s="11"/>
      <c r="J31" s="9"/>
    </row>
    <row r="32" customFormat="false" ht="12.75" hidden="false" customHeight="true" outlineLevel="0" collapsed="false">
      <c r="A32" s="32" t="s">
        <v>105</v>
      </c>
      <c r="B32" s="33" t="n">
        <v>1</v>
      </c>
      <c r="C32" s="33" t="n">
        <v>0</v>
      </c>
      <c r="D32" s="33" t="n">
        <v>0</v>
      </c>
      <c r="E32" s="33" t="n">
        <v>0</v>
      </c>
      <c r="F32" s="22" t="n">
        <v>25000</v>
      </c>
      <c r="G32" s="22" t="n">
        <v>12</v>
      </c>
      <c r="H32" s="33" t="n">
        <f aca="false">+G32*F32*SUM(B32:E32)</f>
        <v>300000</v>
      </c>
      <c r="I32" s="11"/>
      <c r="J32" s="9"/>
    </row>
    <row r="33" customFormat="false" ht="12.75" hidden="false" customHeight="true" outlineLevel="0" collapsed="false">
      <c r="A33" s="34" t="s">
        <v>106</v>
      </c>
      <c r="B33" s="33" t="n">
        <v>1</v>
      </c>
      <c r="C33" s="33" t="n">
        <v>0</v>
      </c>
      <c r="D33" s="33" t="n">
        <v>0</v>
      </c>
      <c r="E33" s="33" t="n">
        <v>0</v>
      </c>
      <c r="F33" s="22" t="n">
        <v>25000</v>
      </c>
      <c r="G33" s="22" t="n">
        <v>12</v>
      </c>
      <c r="H33" s="33" t="n">
        <f aca="false">+G33*F33*SUM(B33:E33)</f>
        <v>300000</v>
      </c>
      <c r="I33" s="11"/>
      <c r="J33" s="9"/>
    </row>
    <row r="34" customFormat="false" ht="12.75" hidden="false" customHeight="true" outlineLevel="0" collapsed="false">
      <c r="A34" s="34" t="s">
        <v>107</v>
      </c>
      <c r="B34" s="33" t="n">
        <v>0</v>
      </c>
      <c r="C34" s="33" t="n">
        <v>0</v>
      </c>
      <c r="D34" s="33" t="n">
        <v>3</v>
      </c>
      <c r="E34" s="33" t="n">
        <v>0</v>
      </c>
      <c r="F34" s="22" t="n">
        <v>25000</v>
      </c>
      <c r="G34" s="22" t="n">
        <v>3</v>
      </c>
      <c r="H34" s="33" t="n">
        <f aca="false">+G34*F34*SUM(B34:E34)</f>
        <v>225000</v>
      </c>
      <c r="I34" s="11"/>
      <c r="J34" s="9"/>
      <c r="M34" s="8" t="n">
        <f aca="false">H38/12</f>
        <v>68750</v>
      </c>
    </row>
    <row r="35" customFormat="false" ht="12.75" hidden="false" customHeight="true" outlineLevel="0" collapsed="false">
      <c r="A35" s="34"/>
      <c r="B35" s="33" t="n">
        <v>0</v>
      </c>
      <c r="C35" s="33" t="n">
        <v>0</v>
      </c>
      <c r="D35" s="33" t="n">
        <v>0</v>
      </c>
      <c r="E35" s="33" t="n">
        <v>0</v>
      </c>
      <c r="F35" s="22" t="n">
        <v>0</v>
      </c>
      <c r="G35" s="22" t="n">
        <v>0</v>
      </c>
      <c r="H35" s="33" t="n">
        <f aca="false">+G35*F35*SUM(B35:E35)</f>
        <v>0</v>
      </c>
      <c r="I35" s="11"/>
      <c r="J35" s="9"/>
    </row>
    <row r="36" customFormat="false" ht="12.75" hidden="false" customHeight="true" outlineLevel="0" collapsed="false">
      <c r="A36" s="34"/>
      <c r="B36" s="33" t="n">
        <v>0</v>
      </c>
      <c r="C36" s="33" t="n">
        <v>0</v>
      </c>
      <c r="D36" s="33" t="n">
        <v>0</v>
      </c>
      <c r="E36" s="33" t="n">
        <v>0</v>
      </c>
      <c r="F36" s="22" t="n">
        <v>0</v>
      </c>
      <c r="G36" s="22" t="n">
        <v>0</v>
      </c>
      <c r="H36" s="33" t="n">
        <f aca="false">+G36*F36*SUM(B36:E36)</f>
        <v>0</v>
      </c>
      <c r="I36" s="11"/>
      <c r="J36" s="9"/>
    </row>
    <row r="37" customFormat="false" ht="12.75" hidden="false" customHeight="true" outlineLevel="0" collapsed="false">
      <c r="A37" s="34"/>
      <c r="B37" s="33"/>
      <c r="C37" s="33"/>
      <c r="D37" s="33"/>
      <c r="E37" s="33"/>
      <c r="F37" s="22"/>
      <c r="G37" s="22"/>
      <c r="H37" s="33" t="n">
        <f aca="false">+G37*F37*SUM(B37:E37)</f>
        <v>0</v>
      </c>
      <c r="I37" s="11"/>
      <c r="J37" s="9"/>
    </row>
    <row r="38" customFormat="false" ht="12.75" hidden="false" customHeight="true" outlineLevel="0" collapsed="false">
      <c r="A38" s="35" t="s">
        <v>108</v>
      </c>
      <c r="B38" s="36" t="n">
        <f aca="false">SUM(B32:B37)</f>
        <v>2</v>
      </c>
      <c r="C38" s="36" t="n">
        <f aca="false">SUM(C32:C37)</f>
        <v>0</v>
      </c>
      <c r="D38" s="36" t="n">
        <f aca="false">SUM(D32:D37)</f>
        <v>3</v>
      </c>
      <c r="E38" s="36" t="n">
        <f aca="false">SUM(E32:E37)</f>
        <v>0</v>
      </c>
      <c r="F38" s="36"/>
      <c r="G38" s="36"/>
      <c r="H38" s="37" t="n">
        <f aca="false">SUM(H32:H37)</f>
        <v>825000</v>
      </c>
      <c r="I38" s="11"/>
      <c r="J38" s="9"/>
    </row>
    <row r="39" customFormat="false" ht="12.75" hidden="false" customHeight="true" outlineLevel="0" collapsed="false">
      <c r="A39" s="28"/>
      <c r="B39" s="11"/>
      <c r="C39" s="11"/>
      <c r="D39" s="11"/>
      <c r="E39" s="11"/>
      <c r="F39" s="11"/>
      <c r="G39" s="11"/>
      <c r="H39" s="11"/>
      <c r="I39" s="11"/>
      <c r="J39" s="9"/>
    </row>
    <row r="40" customFormat="false" ht="12.75" hidden="false" customHeight="true" outlineLevel="0" collapsed="false">
      <c r="A40" s="28" t="s">
        <v>109</v>
      </c>
      <c r="B40" s="11"/>
      <c r="C40" s="11"/>
      <c r="D40" s="11"/>
      <c r="E40" s="11"/>
      <c r="F40" s="11"/>
      <c r="G40" s="11"/>
      <c r="H40" s="11"/>
      <c r="I40" s="11"/>
      <c r="J40" s="9"/>
    </row>
    <row r="41" customFormat="false" ht="4.5" hidden="false" customHeight="true" outlineLevel="0" collapsed="false">
      <c r="A41" s="11"/>
      <c r="B41" s="11"/>
      <c r="C41" s="11"/>
      <c r="D41" s="11"/>
      <c r="E41" s="11"/>
      <c r="F41" s="11"/>
      <c r="G41" s="11"/>
      <c r="H41" s="11"/>
      <c r="I41" s="11"/>
      <c r="J41" s="9"/>
    </row>
    <row r="42" customFormat="false" ht="13.5" hidden="false" customHeight="true" outlineLevel="0" collapsed="false">
      <c r="A42" s="38" t="s">
        <v>110</v>
      </c>
      <c r="B42" s="39" t="s">
        <v>111</v>
      </c>
      <c r="C42" s="39" t="s">
        <v>112</v>
      </c>
      <c r="D42" s="40" t="s">
        <v>113</v>
      </c>
      <c r="E42" s="11"/>
      <c r="F42" s="11"/>
      <c r="G42" s="11"/>
      <c r="H42" s="11"/>
      <c r="I42" s="11"/>
      <c r="J42" s="9"/>
    </row>
    <row r="43" customFormat="false" ht="15.75" hidden="false" customHeight="true" outlineLevel="0" collapsed="false">
      <c r="A43" s="41" t="n">
        <v>0</v>
      </c>
      <c r="B43" s="22" t="n">
        <v>0</v>
      </c>
      <c r="C43" s="22" t="n">
        <v>0</v>
      </c>
      <c r="D43" s="42" t="n">
        <v>0</v>
      </c>
      <c r="E43" s="11"/>
      <c r="F43" s="11"/>
      <c r="G43" s="11"/>
      <c r="H43" s="11"/>
      <c r="I43" s="11"/>
      <c r="J43" s="9"/>
    </row>
    <row r="44" customFormat="false" ht="12.75" hidden="false" customHeight="true" outlineLevel="0" collapsed="false">
      <c r="A44" s="43" t="n">
        <v>0</v>
      </c>
      <c r="B44" s="22" t="n">
        <v>0</v>
      </c>
      <c r="C44" s="22" t="n">
        <v>0</v>
      </c>
      <c r="D44" s="42" t="n">
        <v>0</v>
      </c>
      <c r="E44" s="11"/>
      <c r="F44" s="11"/>
      <c r="G44" s="11"/>
      <c r="H44" s="11"/>
      <c r="I44" s="11"/>
      <c r="J44" s="9"/>
    </row>
    <row r="45" customFormat="false" ht="15" hidden="false" customHeight="true" outlineLevel="0" collapsed="false">
      <c r="A45" s="44" t="n">
        <v>0</v>
      </c>
      <c r="B45" s="22" t="n">
        <v>0</v>
      </c>
      <c r="C45" s="22" t="n">
        <v>0</v>
      </c>
      <c r="D45" s="42" t="n">
        <v>0</v>
      </c>
      <c r="E45" s="11"/>
      <c r="F45" s="11"/>
      <c r="G45" s="11"/>
      <c r="H45" s="11"/>
      <c r="I45" s="11"/>
      <c r="J45" s="9"/>
    </row>
    <row r="46" customFormat="false" ht="12.75" hidden="false" customHeight="true" outlineLevel="0" collapsed="false">
      <c r="A46" s="43"/>
      <c r="B46" s="22"/>
      <c r="C46" s="22"/>
      <c r="D46" s="42" t="n">
        <f aca="false">+B46*C46</f>
        <v>0</v>
      </c>
      <c r="E46" s="11"/>
      <c r="F46" s="11"/>
      <c r="G46" s="11"/>
      <c r="H46" s="11"/>
      <c r="I46" s="11"/>
      <c r="J46" s="9"/>
    </row>
    <row r="47" customFormat="false" ht="12.75" hidden="false" customHeight="true" outlineLevel="0" collapsed="false">
      <c r="A47" s="43"/>
      <c r="B47" s="22"/>
      <c r="C47" s="22"/>
      <c r="D47" s="42" t="n">
        <f aca="false">+B47*C47</f>
        <v>0</v>
      </c>
      <c r="E47" s="11"/>
      <c r="F47" s="11"/>
      <c r="G47" s="11"/>
      <c r="H47" s="11"/>
      <c r="I47" s="11"/>
      <c r="J47" s="9"/>
    </row>
    <row r="48" customFormat="false" ht="12.75" hidden="false" customHeight="true" outlineLevel="0" collapsed="false">
      <c r="A48" s="43"/>
      <c r="B48" s="22"/>
      <c r="C48" s="22"/>
      <c r="D48" s="42" t="n">
        <f aca="false">+B48*C48</f>
        <v>0</v>
      </c>
      <c r="E48" s="11"/>
      <c r="F48" s="11"/>
      <c r="G48" s="11"/>
      <c r="H48" s="11"/>
      <c r="I48" s="11"/>
      <c r="J48" s="9"/>
    </row>
    <row r="49" customFormat="false" ht="13.5" hidden="false" customHeight="true" outlineLevel="0" collapsed="false">
      <c r="A49" s="45" t="s">
        <v>114</v>
      </c>
      <c r="B49" s="45"/>
      <c r="C49" s="45"/>
      <c r="D49" s="46" t="n">
        <f aca="false">D44+D43+D45</f>
        <v>0</v>
      </c>
      <c r="E49" s="11"/>
      <c r="F49" s="11"/>
      <c r="G49" s="11"/>
      <c r="H49" s="11"/>
      <c r="I49" s="11"/>
      <c r="J49" s="9"/>
    </row>
    <row r="50" customFormat="false" ht="12.75" hidden="false" customHeight="true" outlineLevel="0" collapsed="false">
      <c r="A50" s="28"/>
      <c r="B50" s="11"/>
      <c r="C50" s="11"/>
      <c r="D50" s="11"/>
      <c r="E50" s="11"/>
      <c r="F50" s="11"/>
      <c r="G50" s="11"/>
      <c r="H50" s="11"/>
      <c r="I50" s="11"/>
      <c r="J50" s="9"/>
    </row>
    <row r="51" customFormat="false" ht="12.75" hidden="false" customHeight="true" outlineLevel="0" collapsed="false">
      <c r="A51" s="28" t="s">
        <v>115</v>
      </c>
      <c r="B51" s="11"/>
      <c r="C51" s="11"/>
      <c r="D51" s="11"/>
      <c r="E51" s="11"/>
      <c r="F51" s="11"/>
      <c r="G51" s="11"/>
      <c r="H51" s="11"/>
      <c r="I51" s="11"/>
      <c r="J51" s="9"/>
    </row>
    <row r="52" customFormat="false" ht="3.75" hidden="false" customHeight="true" outlineLevel="0" collapsed="false">
      <c r="A52" s="47"/>
      <c r="B52" s="47"/>
      <c r="C52" s="47"/>
      <c r="D52" s="47"/>
      <c r="E52" s="11"/>
      <c r="F52" s="11"/>
      <c r="G52" s="11"/>
      <c r="H52" s="11"/>
      <c r="I52" s="11"/>
      <c r="J52" s="9"/>
    </row>
    <row r="53" customFormat="false" ht="13.5" hidden="false" customHeight="true" outlineLevel="0" collapsed="false">
      <c r="A53" s="38" t="s">
        <v>110</v>
      </c>
      <c r="B53" s="39" t="s">
        <v>111</v>
      </c>
      <c r="C53" s="39" t="s">
        <v>112</v>
      </c>
      <c r="D53" s="40" t="s">
        <v>113</v>
      </c>
      <c r="E53" s="11"/>
      <c r="F53" s="11"/>
      <c r="G53" s="11"/>
      <c r="H53" s="11"/>
      <c r="I53" s="11"/>
      <c r="J53" s="9"/>
    </row>
    <row r="54" customFormat="false" ht="15.75" hidden="false" customHeight="true" outlineLevel="0" collapsed="false">
      <c r="A54" s="48" t="s">
        <v>116</v>
      </c>
      <c r="B54" s="48" t="n">
        <v>1</v>
      </c>
      <c r="C54" s="49" t="n">
        <v>30000</v>
      </c>
      <c r="D54" s="49" t="n">
        <f aca="false">+B54*C54</f>
        <v>30000</v>
      </c>
      <c r="E54" s="11"/>
      <c r="F54" s="11"/>
      <c r="G54" s="11"/>
      <c r="H54" s="11"/>
      <c r="I54" s="11"/>
      <c r="J54" s="9"/>
    </row>
    <row r="55" customFormat="false" ht="15.75" hidden="false" customHeight="true" outlineLevel="0" collapsed="false">
      <c r="A55" s="48" t="s">
        <v>117</v>
      </c>
      <c r="B55" s="48" t="n">
        <v>1</v>
      </c>
      <c r="C55" s="49" t="n">
        <v>400000</v>
      </c>
      <c r="D55" s="49" t="n">
        <f aca="false">+B55*C55</f>
        <v>400000</v>
      </c>
      <c r="E55" s="11"/>
      <c r="F55" s="11"/>
      <c r="G55" s="11"/>
      <c r="H55" s="11"/>
      <c r="I55" s="11"/>
      <c r="J55" s="9"/>
    </row>
    <row r="56" customFormat="false" ht="15.75" hidden="false" customHeight="true" outlineLevel="0" collapsed="false">
      <c r="A56" s="48" t="s">
        <v>118</v>
      </c>
      <c r="B56" s="50" t="n">
        <v>1</v>
      </c>
      <c r="C56" s="50" t="n">
        <v>300000</v>
      </c>
      <c r="D56" s="50" t="n">
        <f aca="false">+B56*C56</f>
        <v>300000</v>
      </c>
      <c r="E56" s="11"/>
      <c r="F56" s="11"/>
      <c r="G56" s="11"/>
      <c r="H56" s="11"/>
      <c r="I56" s="11"/>
      <c r="J56" s="9"/>
    </row>
    <row r="57" customFormat="false" ht="15.75" hidden="false" customHeight="true" outlineLevel="0" collapsed="false">
      <c r="A57" s="48" t="s">
        <v>119</v>
      </c>
      <c r="B57" s="50" t="n">
        <v>150</v>
      </c>
      <c r="C57" s="50" t="n">
        <v>2000</v>
      </c>
      <c r="D57" s="50" t="n">
        <f aca="false">+B57*C57</f>
        <v>300000</v>
      </c>
      <c r="E57" s="11"/>
      <c r="F57" s="11"/>
      <c r="G57" s="11"/>
      <c r="H57" s="11"/>
      <c r="I57" s="11"/>
      <c r="J57" s="9"/>
    </row>
    <row r="58" customFormat="false" ht="15.75" hidden="false" customHeight="true" outlineLevel="0" collapsed="false">
      <c r="A58" s="48" t="s">
        <v>120</v>
      </c>
      <c r="B58" s="50" t="n">
        <v>1</v>
      </c>
      <c r="C58" s="22" t="n">
        <v>465000</v>
      </c>
      <c r="D58" s="42" t="n">
        <f aca="false">+B58*C58</f>
        <v>465000</v>
      </c>
      <c r="E58" s="11"/>
      <c r="F58" s="11"/>
      <c r="G58" s="11"/>
      <c r="H58" s="11"/>
      <c r="I58" s="11"/>
      <c r="J58" s="9"/>
    </row>
    <row r="59" customFormat="false" ht="15.75" hidden="false" customHeight="true" outlineLevel="0" collapsed="false">
      <c r="A59" s="51"/>
      <c r="B59" s="22" t="n">
        <v>0</v>
      </c>
      <c r="C59" s="22" t="n">
        <v>0</v>
      </c>
      <c r="D59" s="42" t="n">
        <f aca="false">+B59*C59</f>
        <v>0</v>
      </c>
      <c r="E59" s="11"/>
      <c r="F59" s="11"/>
      <c r="G59" s="11"/>
      <c r="H59" s="11"/>
      <c r="I59" s="11"/>
      <c r="J59" s="9"/>
    </row>
    <row r="60" customFormat="false" ht="15.75" hidden="false" customHeight="true" outlineLevel="0" collapsed="false">
      <c r="A60" s="52"/>
      <c r="B60" s="22" t="n">
        <v>0</v>
      </c>
      <c r="C60" s="22" t="n">
        <v>0</v>
      </c>
      <c r="D60" s="42" t="n">
        <f aca="false">+B60*C60</f>
        <v>0</v>
      </c>
      <c r="E60" s="11"/>
      <c r="F60" s="11"/>
      <c r="G60" s="11"/>
      <c r="H60" s="11"/>
      <c r="I60" s="11"/>
      <c r="J60" s="9"/>
    </row>
    <row r="61" customFormat="false" ht="15.75" hidden="false" customHeight="true" outlineLevel="0" collapsed="false">
      <c r="A61" s="53"/>
      <c r="B61" s="22" t="n">
        <v>0</v>
      </c>
      <c r="C61" s="22" t="n">
        <v>0</v>
      </c>
      <c r="D61" s="42" t="n">
        <f aca="false">+B61*C61</f>
        <v>0</v>
      </c>
      <c r="E61" s="11"/>
      <c r="F61" s="11"/>
      <c r="G61" s="11"/>
      <c r="H61" s="11"/>
      <c r="I61" s="11"/>
      <c r="J61" s="9"/>
    </row>
    <row r="62" customFormat="false" ht="12.75" hidden="false" customHeight="true" outlineLevel="0" collapsed="false">
      <c r="A62" s="43"/>
      <c r="B62" s="22" t="n">
        <v>0</v>
      </c>
      <c r="C62" s="22" t="n">
        <v>0</v>
      </c>
      <c r="D62" s="42" t="n">
        <f aca="false">+B62*C62</f>
        <v>0</v>
      </c>
      <c r="E62" s="11"/>
      <c r="F62" s="11"/>
      <c r="G62" s="11"/>
      <c r="H62" s="11"/>
      <c r="I62" s="11"/>
      <c r="J62" s="9"/>
    </row>
    <row r="63" customFormat="false" ht="13.5" hidden="false" customHeight="true" outlineLevel="0" collapsed="false">
      <c r="A63" s="45"/>
      <c r="B63" s="45"/>
      <c r="C63" s="45"/>
      <c r="D63" s="46" t="n">
        <f aca="false">+SUM(D54:D62)</f>
        <v>1495000</v>
      </c>
      <c r="E63" s="11"/>
      <c r="F63" s="11"/>
      <c r="G63" s="11"/>
      <c r="H63" s="11"/>
      <c r="I63" s="11"/>
      <c r="J63" s="9"/>
    </row>
    <row r="64" customFormat="false" ht="12.75" hidden="false" customHeight="true" outlineLevel="0" collapsed="false">
      <c r="A64" s="28"/>
      <c r="B64" s="11"/>
      <c r="C64" s="11"/>
      <c r="D64" s="11"/>
      <c r="E64" s="11"/>
      <c r="F64" s="11"/>
      <c r="G64" s="11"/>
      <c r="H64" s="11"/>
      <c r="I64" s="11"/>
      <c r="J64" s="9"/>
    </row>
    <row r="65" customFormat="false" ht="12.75" hidden="false" customHeight="true" outlineLevel="0" collapsed="false">
      <c r="A65" s="28" t="s">
        <v>121</v>
      </c>
      <c r="B65" s="11"/>
      <c r="C65" s="11"/>
      <c r="D65" s="11"/>
      <c r="E65" s="11"/>
      <c r="F65" s="11"/>
      <c r="G65" s="11"/>
      <c r="H65" s="11"/>
      <c r="I65" s="11"/>
      <c r="J65" s="9"/>
    </row>
    <row r="66" customFormat="false" ht="13.5" hidden="false" customHeight="true" outlineLevel="0" collapsed="false">
      <c r="A66" s="28"/>
      <c r="B66" s="11"/>
      <c r="C66" s="11"/>
      <c r="D66" s="11"/>
      <c r="E66" s="11"/>
      <c r="F66" s="11"/>
      <c r="G66" s="11"/>
      <c r="H66" s="11"/>
      <c r="I66" s="11"/>
      <c r="J66" s="9"/>
    </row>
    <row r="67" customFormat="false" ht="13.5" hidden="false" customHeight="true" outlineLevel="0" collapsed="false">
      <c r="A67" s="38" t="s">
        <v>110</v>
      </c>
      <c r="B67" s="39" t="s">
        <v>111</v>
      </c>
      <c r="C67" s="39" t="s">
        <v>112</v>
      </c>
      <c r="D67" s="40" t="s">
        <v>113</v>
      </c>
      <c r="E67" s="11"/>
      <c r="F67" s="11"/>
      <c r="G67" s="11"/>
      <c r="H67" s="11"/>
      <c r="I67" s="11"/>
      <c r="J67" s="9"/>
    </row>
    <row r="68" customFormat="false" ht="12.75" hidden="false" customHeight="true" outlineLevel="0" collapsed="false">
      <c r="A68" s="43"/>
      <c r="B68" s="22" t="n">
        <v>0</v>
      </c>
      <c r="C68" s="22" t="n">
        <v>0</v>
      </c>
      <c r="D68" s="42" t="n">
        <f aca="false">+B68*C68</f>
        <v>0</v>
      </c>
      <c r="E68" s="11"/>
      <c r="F68" s="11"/>
      <c r="G68" s="11"/>
      <c r="H68" s="11"/>
      <c r="I68" s="11"/>
      <c r="J68" s="9"/>
    </row>
    <row r="69" customFormat="false" ht="12.75" hidden="false" customHeight="true" outlineLevel="0" collapsed="false">
      <c r="A69" s="43"/>
      <c r="B69" s="22" t="n">
        <v>0</v>
      </c>
      <c r="C69" s="22" t="n">
        <v>0</v>
      </c>
      <c r="D69" s="42" t="n">
        <f aca="false">+B69*C69</f>
        <v>0</v>
      </c>
      <c r="E69" s="11"/>
      <c r="F69" s="11"/>
      <c r="G69" s="11"/>
      <c r="H69" s="11"/>
      <c r="I69" s="11"/>
      <c r="J69" s="9"/>
    </row>
    <row r="70" customFormat="false" ht="12.75" hidden="false" customHeight="true" outlineLevel="0" collapsed="false">
      <c r="A70" s="43"/>
      <c r="B70" s="22" t="n">
        <v>0</v>
      </c>
      <c r="C70" s="22" t="n">
        <v>0</v>
      </c>
      <c r="D70" s="42" t="n">
        <f aca="false">+B70*C70</f>
        <v>0</v>
      </c>
      <c r="E70" s="11"/>
      <c r="F70" s="11"/>
      <c r="G70" s="11"/>
      <c r="H70" s="11"/>
      <c r="I70" s="11"/>
      <c r="J70" s="9"/>
    </row>
    <row r="71" customFormat="false" ht="12.75" hidden="false" customHeight="true" outlineLevel="0" collapsed="false">
      <c r="A71" s="43"/>
      <c r="B71" s="22" t="n">
        <v>0</v>
      </c>
      <c r="C71" s="22" t="n">
        <v>0</v>
      </c>
      <c r="D71" s="42" t="n">
        <f aca="false">+B71*C71</f>
        <v>0</v>
      </c>
      <c r="E71" s="11"/>
      <c r="F71" s="11"/>
      <c r="G71" s="11"/>
      <c r="H71" s="11"/>
      <c r="I71" s="11"/>
      <c r="J71" s="9"/>
    </row>
    <row r="72" customFormat="false" ht="12.75" hidden="false" customHeight="true" outlineLevel="0" collapsed="false">
      <c r="A72" s="43"/>
      <c r="B72" s="22" t="n">
        <v>0</v>
      </c>
      <c r="C72" s="22" t="n">
        <v>0</v>
      </c>
      <c r="D72" s="42" t="n">
        <f aca="false">+B72*C72</f>
        <v>0</v>
      </c>
      <c r="E72" s="11"/>
      <c r="F72" s="11"/>
      <c r="G72" s="11"/>
      <c r="H72" s="11"/>
      <c r="I72" s="11"/>
      <c r="J72" s="9"/>
    </row>
    <row r="73" customFormat="false" ht="13.5" hidden="false" customHeight="true" outlineLevel="0" collapsed="false">
      <c r="A73" s="45" t="s">
        <v>114</v>
      </c>
      <c r="B73" s="45"/>
      <c r="C73" s="45"/>
      <c r="D73" s="46" t="n">
        <f aca="false">+SUM(D68:D72)</f>
        <v>0</v>
      </c>
      <c r="E73" s="11"/>
      <c r="F73" s="11"/>
      <c r="G73" s="11"/>
      <c r="H73" s="11"/>
      <c r="I73" s="11"/>
      <c r="J73" s="9"/>
    </row>
    <row r="74" customFormat="false" ht="12.75" hidden="false" customHeight="true" outlineLevel="0" collapsed="false">
      <c r="A74" s="28"/>
      <c r="B74" s="11"/>
      <c r="C74" s="11"/>
      <c r="D74" s="11"/>
      <c r="E74" s="11"/>
      <c r="F74" s="11"/>
      <c r="G74" s="11"/>
      <c r="H74" s="11"/>
      <c r="I74" s="11"/>
      <c r="J74" s="9"/>
    </row>
    <row r="75" customFormat="false" ht="12.75" hidden="false" customHeight="true" outlineLevel="0" collapsed="false">
      <c r="A75" s="28" t="s">
        <v>122</v>
      </c>
      <c r="B75" s="11"/>
      <c r="C75" s="11"/>
      <c r="D75" s="11"/>
      <c r="E75" s="11"/>
      <c r="F75" s="11"/>
      <c r="G75" s="11"/>
      <c r="H75" s="11"/>
      <c r="I75" s="11"/>
      <c r="J75" s="9"/>
    </row>
    <row r="76" customFormat="false" ht="13.5" hidden="false" customHeight="true" outlineLevel="0" collapsed="false">
      <c r="A76" s="28"/>
      <c r="B76" s="11"/>
      <c r="C76" s="11"/>
      <c r="D76" s="11"/>
      <c r="E76" s="11"/>
      <c r="F76" s="11"/>
      <c r="G76" s="11"/>
      <c r="H76" s="11"/>
      <c r="I76" s="11"/>
      <c r="J76" s="9"/>
    </row>
    <row r="77" customFormat="false" ht="13.5" hidden="false" customHeight="true" outlineLevel="0" collapsed="false">
      <c r="A77" s="38" t="s">
        <v>110</v>
      </c>
      <c r="B77" s="39" t="s">
        <v>111</v>
      </c>
      <c r="C77" s="39" t="s">
        <v>112</v>
      </c>
      <c r="D77" s="40" t="s">
        <v>113</v>
      </c>
      <c r="E77" s="11"/>
      <c r="F77" s="11"/>
      <c r="G77" s="11"/>
      <c r="H77" s="11"/>
      <c r="I77" s="11"/>
      <c r="J77" s="9"/>
    </row>
    <row r="78" customFormat="false" ht="15.75" hidden="false" customHeight="true" outlineLevel="0" collapsed="false">
      <c r="A78" s="48" t="s">
        <v>123</v>
      </c>
      <c r="B78" s="22" t="n">
        <v>2</v>
      </c>
      <c r="C78" s="22" t="n">
        <v>30000</v>
      </c>
      <c r="D78" s="42" t="n">
        <f aca="false">+B78*C78</f>
        <v>60000</v>
      </c>
      <c r="E78" s="11"/>
      <c r="F78" s="11"/>
      <c r="G78" s="11"/>
      <c r="H78" s="11"/>
      <c r="I78" s="11"/>
      <c r="J78" s="9"/>
    </row>
    <row r="79" customFormat="false" ht="15.75" hidden="false" customHeight="true" outlineLevel="0" collapsed="false">
      <c r="A79" s="48" t="s">
        <v>124</v>
      </c>
      <c r="B79" s="22" t="n">
        <v>3</v>
      </c>
      <c r="C79" s="22" t="n">
        <v>3000</v>
      </c>
      <c r="D79" s="42" t="n">
        <f aca="false">+B79*C79</f>
        <v>9000</v>
      </c>
      <c r="E79" s="11"/>
      <c r="F79" s="11"/>
      <c r="G79" s="11"/>
      <c r="H79" s="11"/>
      <c r="I79" s="11"/>
      <c r="J79" s="9"/>
    </row>
    <row r="80" customFormat="false" ht="15.75" hidden="false" customHeight="true" outlineLevel="0" collapsed="false">
      <c r="A80" s="51" t="s">
        <v>125</v>
      </c>
      <c r="B80" s="22" t="n">
        <v>1</v>
      </c>
      <c r="C80" s="22" t="n">
        <v>25000</v>
      </c>
      <c r="D80" s="42" t="n">
        <f aca="false">+B80*C80</f>
        <v>25000</v>
      </c>
      <c r="E80" s="11"/>
      <c r="F80" s="11"/>
      <c r="G80" s="11"/>
      <c r="H80" s="11"/>
      <c r="I80" s="11"/>
      <c r="J80" s="9"/>
    </row>
    <row r="81" customFormat="false" ht="12.75" hidden="false" customHeight="true" outlineLevel="0" collapsed="false">
      <c r="A81" s="43" t="s">
        <v>126</v>
      </c>
      <c r="B81" s="22" t="n">
        <v>10</v>
      </c>
      <c r="C81" s="22" t="n">
        <v>3000</v>
      </c>
      <c r="D81" s="42" t="n">
        <f aca="false">+B81*C81</f>
        <v>30000</v>
      </c>
      <c r="E81" s="11"/>
      <c r="F81" s="11"/>
      <c r="G81" s="11"/>
      <c r="H81" s="11"/>
      <c r="I81" s="11"/>
      <c r="J81" s="9"/>
    </row>
    <row r="82" customFormat="false" ht="12.75" hidden="false" customHeight="true" outlineLevel="0" collapsed="false">
      <c r="A82" s="8" t="s">
        <v>127</v>
      </c>
      <c r="B82" s="22" t="n">
        <v>1</v>
      </c>
      <c r="C82" s="22" t="n">
        <v>30000</v>
      </c>
      <c r="D82" s="42" t="n">
        <f aca="false">+B82*C82</f>
        <v>30000</v>
      </c>
      <c r="E82" s="11"/>
      <c r="F82" s="11"/>
      <c r="G82" s="11"/>
      <c r="H82" s="11"/>
      <c r="I82" s="11"/>
      <c r="J82" s="9"/>
    </row>
    <row r="83" customFormat="false" ht="12.75" hidden="false" customHeight="true" outlineLevel="0" collapsed="false">
      <c r="A83" s="43" t="s">
        <v>128</v>
      </c>
      <c r="B83" s="22" t="n">
        <v>1</v>
      </c>
      <c r="C83" s="22" t="n">
        <v>10000</v>
      </c>
      <c r="D83" s="42" t="n">
        <f aca="false">+B83*C83</f>
        <v>10000</v>
      </c>
      <c r="E83" s="11"/>
      <c r="F83" s="11"/>
      <c r="G83" s="11"/>
      <c r="H83" s="11"/>
      <c r="I83" s="11"/>
      <c r="J83" s="9"/>
    </row>
    <row r="84" customFormat="false" ht="12.75" hidden="false" customHeight="true" outlineLevel="0" collapsed="false">
      <c r="A84" s="43" t="s">
        <v>129</v>
      </c>
      <c r="B84" s="22" t="n">
        <v>1</v>
      </c>
      <c r="C84" s="22" t="n">
        <v>50000</v>
      </c>
      <c r="D84" s="42" t="n">
        <f aca="false">+B84*C84</f>
        <v>50000</v>
      </c>
      <c r="E84" s="11"/>
      <c r="F84" s="11"/>
      <c r="G84" s="11"/>
      <c r="H84" s="11"/>
      <c r="I84" s="11"/>
      <c r="J84" s="9"/>
    </row>
    <row r="85" customFormat="false" ht="13.5" hidden="false" customHeight="true" outlineLevel="0" collapsed="false">
      <c r="A85" s="45" t="s">
        <v>114</v>
      </c>
      <c r="B85" s="45"/>
      <c r="C85" s="45"/>
      <c r="D85" s="46" t="n">
        <f aca="false">+SUM(D78:D84)</f>
        <v>214000</v>
      </c>
      <c r="E85" s="11"/>
      <c r="F85" s="11"/>
      <c r="G85" s="11"/>
      <c r="H85" s="11"/>
      <c r="I85" s="11"/>
      <c r="J85" s="9"/>
    </row>
    <row r="86" customFormat="false" ht="12.75" hidden="false" customHeight="true" outlineLevel="0" collapsed="false">
      <c r="A86" s="28"/>
      <c r="B86" s="11"/>
      <c r="C86" s="11"/>
      <c r="D86" s="11"/>
      <c r="E86" s="11"/>
      <c r="F86" s="11"/>
      <c r="G86" s="11"/>
      <c r="H86" s="11"/>
      <c r="I86" s="11"/>
      <c r="J86" s="9"/>
    </row>
    <row r="87" customFormat="false" ht="12.75" hidden="false" customHeight="true" outlineLevel="0" collapsed="false">
      <c r="A87" s="28"/>
      <c r="B87" s="11"/>
      <c r="C87" s="11"/>
      <c r="D87" s="11"/>
      <c r="E87" s="11"/>
      <c r="F87" s="11"/>
      <c r="G87" s="11"/>
      <c r="H87" s="11"/>
      <c r="I87" s="11"/>
      <c r="J87" s="9"/>
    </row>
    <row r="88" customFormat="false" ht="12.75" hidden="false" customHeight="true" outlineLevel="0" collapsed="false">
      <c r="A88" s="28" t="s">
        <v>130</v>
      </c>
      <c r="B88" s="11"/>
      <c r="C88" s="11"/>
      <c r="D88" s="11"/>
      <c r="E88" s="11"/>
      <c r="F88" s="11"/>
      <c r="G88" s="11"/>
      <c r="H88" s="11"/>
      <c r="I88" s="11"/>
      <c r="J88" s="9"/>
    </row>
    <row r="89" customFormat="false" ht="13.5" hidden="false" customHeight="true" outlineLevel="0" collapsed="false">
      <c r="A89" s="28"/>
      <c r="B89" s="11"/>
      <c r="C89" s="11"/>
      <c r="D89" s="11"/>
      <c r="E89" s="11"/>
      <c r="F89" s="11"/>
      <c r="G89" s="11"/>
      <c r="H89" s="11"/>
      <c r="I89" s="11"/>
      <c r="J89" s="9"/>
    </row>
    <row r="90" customFormat="false" ht="26.25" hidden="false" customHeight="true" outlineLevel="0" collapsed="false">
      <c r="A90" s="38" t="s">
        <v>110</v>
      </c>
      <c r="B90" s="54" t="s">
        <v>71</v>
      </c>
      <c r="C90" s="54" t="s">
        <v>131</v>
      </c>
      <c r="D90" s="54" t="s">
        <v>132</v>
      </c>
      <c r="E90" s="55" t="s">
        <v>112</v>
      </c>
      <c r="F90" s="56" t="s">
        <v>133</v>
      </c>
      <c r="G90" s="11"/>
      <c r="H90" s="11"/>
      <c r="I90" s="11"/>
      <c r="J90" s="9"/>
    </row>
    <row r="91" customFormat="false" ht="12.75" hidden="false" customHeight="true" outlineLevel="0" collapsed="false">
      <c r="A91" s="57" t="s">
        <v>134</v>
      </c>
      <c r="B91" s="22" t="s">
        <v>71</v>
      </c>
      <c r="C91" s="22" t="n">
        <v>1</v>
      </c>
      <c r="D91" s="58" t="n">
        <v>12</v>
      </c>
      <c r="E91" s="22" t="n">
        <v>12500</v>
      </c>
      <c r="F91" s="22" t="n">
        <f aca="false">+E91*D91</f>
        <v>150000</v>
      </c>
      <c r="G91" s="11"/>
      <c r="H91" s="11"/>
      <c r="I91" s="11"/>
      <c r="J91" s="9"/>
    </row>
    <row r="92" customFormat="false" ht="12.75" hidden="false" customHeight="true" outlineLevel="0" collapsed="false">
      <c r="A92" s="57" t="s">
        <v>135</v>
      </c>
      <c r="B92" s="22" t="s">
        <v>71</v>
      </c>
      <c r="C92" s="22" t="n">
        <v>1</v>
      </c>
      <c r="D92" s="58" t="n">
        <v>12</v>
      </c>
      <c r="E92" s="22" t="n">
        <v>6250</v>
      </c>
      <c r="F92" s="22" t="n">
        <f aca="false">+E92*D92</f>
        <v>75000</v>
      </c>
      <c r="G92" s="11"/>
      <c r="H92" s="11"/>
      <c r="I92" s="11"/>
      <c r="J92" s="9"/>
    </row>
    <row r="93" customFormat="false" ht="12.75" hidden="false" customHeight="true" outlineLevel="0" collapsed="false">
      <c r="A93" s="57" t="s">
        <v>136</v>
      </c>
      <c r="B93" s="22" t="s">
        <v>71</v>
      </c>
      <c r="C93" s="22" t="n">
        <v>1</v>
      </c>
      <c r="D93" s="58" t="n">
        <v>1</v>
      </c>
      <c r="E93" s="22" t="n">
        <v>75000</v>
      </c>
      <c r="F93" s="22" t="n">
        <f aca="false">+E93*D93</f>
        <v>75000</v>
      </c>
      <c r="G93" s="11"/>
      <c r="H93" s="11"/>
      <c r="I93" s="11"/>
      <c r="J93" s="9"/>
    </row>
    <row r="94" customFormat="false" ht="12.75" hidden="false" customHeight="true" outlineLevel="0" collapsed="false">
      <c r="A94" s="57"/>
      <c r="B94" s="22" t="n">
        <v>0</v>
      </c>
      <c r="C94" s="22" t="n">
        <v>0</v>
      </c>
      <c r="D94" s="58" t="n">
        <v>0</v>
      </c>
      <c r="E94" s="22" t="n">
        <v>0</v>
      </c>
      <c r="F94" s="22" t="n">
        <f aca="false">+E94*D94</f>
        <v>0</v>
      </c>
      <c r="G94" s="11"/>
      <c r="H94" s="11"/>
      <c r="I94" s="11"/>
      <c r="J94" s="9"/>
    </row>
    <row r="95" customFormat="false" ht="12.75" hidden="false" customHeight="true" outlineLevel="0" collapsed="false">
      <c r="A95" s="57"/>
      <c r="B95" s="22"/>
      <c r="C95" s="22" t="n">
        <v>0</v>
      </c>
      <c r="D95" s="58" t="n">
        <v>0</v>
      </c>
      <c r="E95" s="22" t="n">
        <v>0</v>
      </c>
      <c r="F95" s="22" t="n">
        <f aca="false">+E95*D95</f>
        <v>0</v>
      </c>
      <c r="G95" s="11"/>
      <c r="H95" s="11"/>
      <c r="I95" s="11"/>
      <c r="J95" s="9"/>
    </row>
    <row r="96" customFormat="false" ht="12.75" hidden="false" customHeight="true" outlineLevel="0" collapsed="false">
      <c r="A96" s="57"/>
      <c r="B96" s="22"/>
      <c r="C96" s="22" t="n">
        <v>0</v>
      </c>
      <c r="D96" s="58" t="n">
        <v>0</v>
      </c>
      <c r="E96" s="22" t="n">
        <v>0</v>
      </c>
      <c r="F96" s="22" t="n">
        <f aca="false">+E96*D96</f>
        <v>0</v>
      </c>
      <c r="G96" s="11"/>
      <c r="H96" s="11"/>
      <c r="I96" s="11"/>
      <c r="J96" s="9"/>
    </row>
    <row r="97" customFormat="false" ht="12.75" hidden="false" customHeight="true" outlineLevel="0" collapsed="false">
      <c r="A97" s="57"/>
      <c r="B97" s="22"/>
      <c r="C97" s="22" t="n">
        <v>0</v>
      </c>
      <c r="D97" s="58" t="n">
        <v>0</v>
      </c>
      <c r="E97" s="22" t="n">
        <v>0</v>
      </c>
      <c r="F97" s="22" t="n">
        <f aca="false">+E97*D97</f>
        <v>0</v>
      </c>
      <c r="G97" s="11"/>
      <c r="H97" s="11"/>
      <c r="I97" s="11"/>
      <c r="J97" s="9"/>
      <c r="L97" s="8" t="n">
        <f aca="false">400+200</f>
        <v>600</v>
      </c>
    </row>
    <row r="98" customFormat="false" ht="13.5" hidden="false" customHeight="true" outlineLevel="0" collapsed="false">
      <c r="A98" s="45" t="s">
        <v>114</v>
      </c>
      <c r="B98" s="59"/>
      <c r="C98" s="59"/>
      <c r="D98" s="59"/>
      <c r="E98" s="59"/>
      <c r="F98" s="60" t="n">
        <f aca="false">+SUM(F91:F97)</f>
        <v>300000</v>
      </c>
      <c r="G98" s="11"/>
      <c r="H98" s="11"/>
      <c r="I98" s="11"/>
      <c r="J98" s="9"/>
    </row>
    <row r="99" customFormat="false" ht="12.75" hidden="false" customHeight="true" outlineLevel="0" collapsed="false">
      <c r="A99" s="28"/>
      <c r="B99" s="11"/>
      <c r="C99" s="11"/>
      <c r="D99" s="11"/>
      <c r="E99" s="11"/>
      <c r="F99" s="11"/>
      <c r="G99" s="11"/>
      <c r="H99" s="11"/>
      <c r="I99" s="11"/>
      <c r="J99" s="9"/>
    </row>
    <row r="100" customFormat="false" ht="12.75" hidden="false" customHeight="true" outlineLevel="0" collapsed="false">
      <c r="A100" s="28"/>
      <c r="B100" s="11"/>
      <c r="C100" s="11"/>
      <c r="D100" s="11"/>
      <c r="E100" s="11"/>
      <c r="F100" s="11"/>
      <c r="G100" s="11"/>
      <c r="H100" s="11"/>
      <c r="I100" s="11"/>
      <c r="J100" s="9"/>
    </row>
    <row r="101" customFormat="false" ht="12.75" hidden="false" customHeight="true" outlineLevel="0" collapsed="false">
      <c r="A101" s="28" t="s">
        <v>137</v>
      </c>
      <c r="B101" s="11"/>
      <c r="C101" s="11"/>
      <c r="D101" s="11"/>
      <c r="E101" s="11"/>
      <c r="F101" s="11"/>
      <c r="G101" s="11"/>
      <c r="H101" s="11"/>
      <c r="I101" s="11"/>
      <c r="J101" s="9"/>
    </row>
    <row r="102" customFormat="false" ht="12.75" hidden="false" customHeight="true" outlineLevel="0" collapsed="false">
      <c r="A102" s="28"/>
      <c r="B102" s="11"/>
      <c r="C102" s="11"/>
      <c r="D102" s="11"/>
      <c r="E102" s="11"/>
      <c r="F102" s="11"/>
      <c r="G102" s="11"/>
      <c r="H102" s="11"/>
      <c r="I102" s="11"/>
      <c r="J102" s="9"/>
      <c r="L102" s="8" t="n">
        <f aca="false">17500+20000</f>
        <v>37500</v>
      </c>
    </row>
    <row r="103" customFormat="false" ht="12.75" hidden="false" customHeight="true" outlineLevel="0" collapsed="false">
      <c r="A103" s="28" t="s">
        <v>138</v>
      </c>
      <c r="B103" s="11"/>
      <c r="C103" s="11"/>
      <c r="D103" s="11"/>
      <c r="E103" s="11"/>
      <c r="F103" s="11"/>
      <c r="G103" s="11"/>
      <c r="H103" s="11"/>
      <c r="I103" s="11"/>
      <c r="J103" s="9"/>
      <c r="L103" s="8" t="n">
        <f aca="false">L102/2</f>
        <v>18750</v>
      </c>
    </row>
    <row r="104" customFormat="false" ht="12.75" hidden="false" customHeight="true" outlineLevel="0" collapsed="false">
      <c r="A104" s="28"/>
      <c r="B104" s="11"/>
      <c r="C104" s="11"/>
      <c r="D104" s="11"/>
      <c r="E104" s="11"/>
      <c r="F104" s="11"/>
      <c r="G104" s="11"/>
      <c r="H104" s="11"/>
      <c r="I104" s="11"/>
      <c r="J104" s="9"/>
    </row>
    <row r="105" customFormat="false" ht="12.75" hidden="false" customHeight="true" outlineLevel="0" collapsed="false">
      <c r="A105" s="13" t="s">
        <v>70</v>
      </c>
      <c r="B105" s="14" t="s">
        <v>71</v>
      </c>
      <c r="C105" s="14" t="s">
        <v>72</v>
      </c>
      <c r="D105" s="14" t="s">
        <v>73</v>
      </c>
      <c r="E105" s="14" t="s">
        <v>74</v>
      </c>
      <c r="F105" s="14" t="s">
        <v>75</v>
      </c>
      <c r="G105" s="15" t="s">
        <v>76</v>
      </c>
      <c r="H105" s="15" t="s">
        <v>77</v>
      </c>
      <c r="I105" s="15" t="s">
        <v>78</v>
      </c>
      <c r="J105" s="9"/>
    </row>
    <row r="106" customFormat="false" ht="12.75" hidden="false" customHeight="true" outlineLevel="0" collapsed="false">
      <c r="A106" s="16" t="s">
        <v>139</v>
      </c>
      <c r="B106" s="17" t="s">
        <v>140</v>
      </c>
      <c r="C106" s="17" t="n">
        <v>0</v>
      </c>
      <c r="D106" s="17" t="n">
        <v>0</v>
      </c>
      <c r="E106" s="17" t="n">
        <f aca="false">C106*25</f>
        <v>0</v>
      </c>
      <c r="F106" s="17" t="n">
        <v>1600</v>
      </c>
      <c r="G106" s="61" t="n">
        <v>6400</v>
      </c>
      <c r="H106" s="62" t="n">
        <v>1000</v>
      </c>
      <c r="I106" s="63" t="n">
        <f aca="false">+H106*G106</f>
        <v>6400000</v>
      </c>
      <c r="J106" s="9"/>
    </row>
    <row r="107" customFormat="false" ht="12.75" hidden="false" customHeight="true" outlineLevel="0" collapsed="false">
      <c r="A107" s="16" t="s">
        <v>141</v>
      </c>
      <c r="B107" s="17" t="s">
        <v>140</v>
      </c>
      <c r="C107" s="17" t="n">
        <v>0</v>
      </c>
      <c r="D107" s="17" t="n">
        <v>0</v>
      </c>
      <c r="E107" s="17"/>
      <c r="F107" s="17" t="n">
        <v>100</v>
      </c>
      <c r="G107" s="61" t="n">
        <v>400</v>
      </c>
      <c r="H107" s="19" t="n">
        <v>3000</v>
      </c>
      <c r="I107" s="63" t="n">
        <f aca="false">+H107*G107</f>
        <v>1200000</v>
      </c>
      <c r="J107" s="9"/>
    </row>
    <row r="108" customFormat="false" ht="12.75" hidden="false" customHeight="true" outlineLevel="0" collapsed="false">
      <c r="A108" s="16"/>
      <c r="B108" s="17"/>
      <c r="C108" s="17" t="n">
        <v>0</v>
      </c>
      <c r="D108" s="17" t="n">
        <v>0</v>
      </c>
      <c r="E108" s="17" t="n">
        <v>0</v>
      </c>
      <c r="F108" s="17" t="n">
        <v>0</v>
      </c>
      <c r="G108" s="61" t="n">
        <v>0</v>
      </c>
      <c r="H108" s="19" t="n">
        <v>0</v>
      </c>
      <c r="I108" s="63" t="n">
        <f aca="false">+H108*G108</f>
        <v>0</v>
      </c>
      <c r="J108" s="9"/>
    </row>
    <row r="109" customFormat="false" ht="12.75" hidden="false" customHeight="true" outlineLevel="0" collapsed="false">
      <c r="A109" s="16"/>
      <c r="B109" s="17"/>
      <c r="C109" s="17" t="n">
        <v>0</v>
      </c>
      <c r="D109" s="17" t="n">
        <f aca="false">E109/4</f>
        <v>0</v>
      </c>
      <c r="E109" s="17" t="n">
        <v>0</v>
      </c>
      <c r="F109" s="17" t="n">
        <v>0</v>
      </c>
      <c r="G109" s="61" t="n">
        <v>0</v>
      </c>
      <c r="H109" s="19" t="n">
        <v>0</v>
      </c>
      <c r="I109" s="63" t="n">
        <f aca="false">+H109*G109</f>
        <v>0</v>
      </c>
      <c r="J109" s="9"/>
    </row>
    <row r="110" customFormat="false" ht="12.75" hidden="false" customHeight="true" outlineLevel="0" collapsed="false">
      <c r="A110" s="16"/>
      <c r="B110" s="17"/>
      <c r="C110" s="17"/>
      <c r="D110" s="17"/>
      <c r="E110" s="17"/>
      <c r="F110" s="17" t="n">
        <v>0</v>
      </c>
      <c r="G110" s="61" t="n">
        <v>0</v>
      </c>
      <c r="H110" s="19" t="n">
        <v>0</v>
      </c>
      <c r="I110" s="63" t="n">
        <f aca="false">+H110*G110</f>
        <v>0</v>
      </c>
      <c r="J110" s="9"/>
    </row>
    <row r="111" customFormat="false" ht="12.75" hidden="false" customHeight="true" outlineLevel="0" collapsed="false">
      <c r="A111" s="16"/>
      <c r="B111" s="17"/>
      <c r="C111" s="17"/>
      <c r="D111" s="17"/>
      <c r="E111" s="17"/>
      <c r="F111" s="17" t="n">
        <v>0</v>
      </c>
      <c r="G111" s="61" t="n">
        <v>0</v>
      </c>
      <c r="H111" s="19" t="n">
        <v>0</v>
      </c>
      <c r="I111" s="63" t="n">
        <f aca="false">+H111*G111</f>
        <v>0</v>
      </c>
      <c r="J111" s="9"/>
    </row>
    <row r="112" customFormat="false" ht="12.75" hidden="false" customHeight="true" outlineLevel="0" collapsed="false">
      <c r="A112" s="16"/>
      <c r="B112" s="17"/>
      <c r="C112" s="17"/>
      <c r="D112" s="17"/>
      <c r="E112" s="17"/>
      <c r="F112" s="17" t="n">
        <v>0</v>
      </c>
      <c r="G112" s="61" t="n">
        <v>0</v>
      </c>
      <c r="H112" s="19" t="n">
        <v>0</v>
      </c>
      <c r="I112" s="63" t="n">
        <f aca="false">+H112*G112</f>
        <v>0</v>
      </c>
      <c r="J112" s="9"/>
    </row>
    <row r="113" customFormat="false" ht="12.75" hidden="false" customHeight="true" outlineLevel="0" collapsed="false">
      <c r="A113" s="16"/>
      <c r="B113" s="17"/>
      <c r="C113" s="17" t="n">
        <v>0</v>
      </c>
      <c r="D113" s="17" t="n">
        <f aca="false">E113/4</f>
        <v>0</v>
      </c>
      <c r="E113" s="17" t="n">
        <f aca="false">C113*25</f>
        <v>0</v>
      </c>
      <c r="F113" s="17" t="n">
        <v>0</v>
      </c>
      <c r="G113" s="61" t="n">
        <v>0</v>
      </c>
      <c r="H113" s="19" t="n">
        <v>0</v>
      </c>
      <c r="I113" s="63" t="n">
        <f aca="false">+H113*G113</f>
        <v>0</v>
      </c>
      <c r="J113" s="9"/>
    </row>
    <row r="114" customFormat="false" ht="12.75" hidden="false" customHeight="true" outlineLevel="0" collapsed="false">
      <c r="A114" s="23" t="s">
        <v>89</v>
      </c>
      <c r="B114" s="24"/>
      <c r="C114" s="25"/>
      <c r="D114" s="25"/>
      <c r="E114" s="25"/>
      <c r="F114" s="25"/>
      <c r="G114" s="25"/>
      <c r="H114" s="25"/>
      <c r="I114" s="64" t="n">
        <f aca="false">SUM(I106:I113)</f>
        <v>7600000</v>
      </c>
      <c r="J114" s="9"/>
    </row>
    <row r="115" customFormat="false" ht="12.75" hidden="false" customHeight="true" outlineLevel="0" collapsed="false">
      <c r="A115" s="9"/>
      <c r="B115" s="9"/>
      <c r="C115" s="9"/>
      <c r="D115" s="9"/>
      <c r="E115" s="9"/>
      <c r="F115" s="9"/>
      <c r="G115" s="9"/>
      <c r="H115" s="9"/>
      <c r="I115" s="9"/>
      <c r="J115" s="9"/>
    </row>
  </sheetData>
  <mergeCells count="10">
    <mergeCell ref="A2:I2"/>
    <mergeCell ref="A4:I4"/>
    <mergeCell ref="A15:I15"/>
    <mergeCell ref="A26:E26"/>
    <mergeCell ref="A28:E28"/>
    <mergeCell ref="A30:A31"/>
    <mergeCell ref="B30:C30"/>
    <mergeCell ref="D30:E30"/>
    <mergeCell ref="F30:F31"/>
    <mergeCell ref="G30:G3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true" showRowColHeaders="true" showZeros="true" rightToLeft="false" tabSelected="false" showOutlineSymbols="true" defaultGridColor="true" view="normal" topLeftCell="A39" colorId="64" zoomScale="100" zoomScaleNormal="100" zoomScalePageLayoutView="100" workbookViewId="0">
      <selection pane="topLeft" activeCell="H7" activeCellId="0" sqref="H7"/>
    </sheetView>
  </sheetViews>
  <sheetFormatPr defaultColWidth="11.453125" defaultRowHeight="14.25" zeroHeight="false" outlineLevelRow="0" outlineLevelCol="0"/>
  <cols>
    <col collapsed="false" customWidth="true" hidden="false" outlineLevel="0" max="1" min="1" style="65" width="56.54"/>
    <col collapsed="false" customWidth="true" hidden="false" outlineLevel="0" max="2" min="2" style="66" width="11.54"/>
    <col collapsed="false" customWidth="true" hidden="false" outlineLevel="0" max="3" min="3" style="66" width="15.45"/>
    <col collapsed="false" customWidth="true" hidden="false" outlineLevel="0" max="4" min="4" style="66" width="7.82"/>
    <col collapsed="false" customWidth="true" hidden="false" outlineLevel="0" max="5" min="5" style="65" width="3.45"/>
    <col collapsed="false" customWidth="false" hidden="false" outlineLevel="0" max="16384" min="6" style="65" width="11.45"/>
  </cols>
  <sheetData>
    <row r="1" customFormat="false" ht="15" hidden="false" customHeight="true" outlineLevel="0" collapsed="false">
      <c r="A1" s="67"/>
      <c r="B1" s="68"/>
      <c r="C1" s="68"/>
      <c r="D1" s="68"/>
      <c r="E1" s="67"/>
    </row>
    <row r="2" customFormat="false" ht="20.25" hidden="false" customHeight="true" outlineLevel="0" collapsed="false">
      <c r="A2" s="69" t="s">
        <v>142</v>
      </c>
      <c r="B2" s="70" t="s">
        <v>143</v>
      </c>
      <c r="C2" s="70"/>
      <c r="D2" s="71" t="s">
        <v>144</v>
      </c>
      <c r="E2" s="67"/>
    </row>
    <row r="3" customFormat="false" ht="15" hidden="false" customHeight="true" outlineLevel="0" collapsed="false">
      <c r="A3" s="72"/>
      <c r="B3" s="73"/>
      <c r="C3" s="73"/>
      <c r="D3" s="74"/>
      <c r="E3" s="67"/>
    </row>
    <row r="4" customFormat="false" ht="18" hidden="false" customHeight="true" outlineLevel="0" collapsed="false">
      <c r="A4" s="75" t="s">
        <v>145</v>
      </c>
      <c r="B4" s="76"/>
      <c r="C4" s="76" t="n">
        <f aca="false">SUM(B5:B10)</f>
        <v>550000</v>
      </c>
      <c r="D4" s="77" t="n">
        <f aca="false">C4/$C$46</f>
        <v>0.17979731938542</v>
      </c>
      <c r="E4" s="67"/>
    </row>
    <row r="5" customFormat="false" ht="15" hidden="false" customHeight="true" outlineLevel="0" collapsed="false">
      <c r="A5" s="78" t="s">
        <v>146</v>
      </c>
      <c r="B5" s="79"/>
      <c r="C5" s="79"/>
      <c r="D5" s="80"/>
      <c r="E5" s="67"/>
    </row>
    <row r="6" customFormat="false" ht="15" hidden="false" customHeight="true" outlineLevel="0" collapsed="false">
      <c r="A6" s="78" t="s">
        <v>147</v>
      </c>
      <c r="B6" s="79" t="n">
        <v>0</v>
      </c>
      <c r="C6" s="79"/>
      <c r="D6" s="80"/>
      <c r="E6" s="67"/>
    </row>
    <row r="7" customFormat="false" ht="15" hidden="false" customHeight="true" outlineLevel="0" collapsed="false">
      <c r="A7" s="78" t="s">
        <v>148</v>
      </c>
      <c r="B7" s="79" t="n">
        <v>0</v>
      </c>
      <c r="C7" s="79"/>
      <c r="D7" s="80"/>
      <c r="E7" s="67"/>
    </row>
    <row r="8" customFormat="false" ht="15" hidden="false" customHeight="true" outlineLevel="0" collapsed="false">
      <c r="A8" s="78" t="s">
        <v>149</v>
      </c>
      <c r="B8" s="79"/>
      <c r="C8" s="79"/>
      <c r="D8" s="80"/>
      <c r="E8" s="67"/>
    </row>
    <row r="9" customFormat="false" ht="15" hidden="false" customHeight="true" outlineLevel="0" collapsed="false">
      <c r="A9" s="78" t="s">
        <v>150</v>
      </c>
      <c r="B9" s="79"/>
      <c r="C9" s="79"/>
      <c r="D9" s="80"/>
      <c r="E9" s="67"/>
    </row>
    <row r="10" customFormat="false" ht="15" hidden="false" customHeight="true" outlineLevel="0" collapsed="false">
      <c r="A10" s="78" t="s">
        <v>151</v>
      </c>
      <c r="B10" s="79" t="n">
        <v>550000</v>
      </c>
      <c r="C10" s="79"/>
      <c r="D10" s="80"/>
      <c r="E10" s="67"/>
    </row>
    <row r="11" customFormat="false" ht="18" hidden="false" customHeight="true" outlineLevel="0" collapsed="false">
      <c r="A11" s="75" t="s">
        <v>152</v>
      </c>
      <c r="B11" s="76"/>
      <c r="C11" s="76" t="n">
        <f aca="false">B12+B19+B28+B34</f>
        <v>1709000</v>
      </c>
      <c r="D11" s="77" t="n">
        <f aca="false">C11/$C$46</f>
        <v>0.55867930696306</v>
      </c>
      <c r="E11" s="67"/>
    </row>
    <row r="12" customFormat="false" ht="15.75" hidden="false" customHeight="true" outlineLevel="0" collapsed="false">
      <c r="A12" s="81" t="s">
        <v>153</v>
      </c>
      <c r="B12" s="82" t="n">
        <f aca="false">SUM(B13:B18)</f>
        <v>0</v>
      </c>
      <c r="C12" s="82"/>
      <c r="D12" s="83"/>
      <c r="E12" s="67"/>
    </row>
    <row r="13" customFormat="false" ht="15" hidden="false" customHeight="true" outlineLevel="0" collapsed="false">
      <c r="A13" s="84" t="n">
        <f aca="false">'Hypothèse de base'!A43</f>
        <v>0</v>
      </c>
      <c r="B13" s="79" t="n">
        <f aca="false">+'Hypothèse de base'!D43</f>
        <v>0</v>
      </c>
      <c r="C13" s="79"/>
      <c r="D13" s="80"/>
      <c r="E13" s="67"/>
    </row>
    <row r="14" customFormat="false" ht="15" hidden="false" customHeight="true" outlineLevel="0" collapsed="false">
      <c r="A14" s="84" t="n">
        <f aca="false">+'Hypothèse de base'!A44</f>
        <v>0</v>
      </c>
      <c r="B14" s="79" t="n">
        <f aca="false">+'Hypothèse de base'!D44</f>
        <v>0</v>
      </c>
      <c r="C14" s="79"/>
      <c r="D14" s="80"/>
      <c r="E14" s="67"/>
    </row>
    <row r="15" customFormat="false" ht="15" hidden="false" customHeight="true" outlineLevel="0" collapsed="false">
      <c r="A15" s="84" t="n">
        <f aca="false">+'Hypothèse de base'!A45</f>
        <v>0</v>
      </c>
      <c r="B15" s="79" t="n">
        <f aca="false">+'Hypothèse de base'!D45</f>
        <v>0</v>
      </c>
      <c r="C15" s="79"/>
      <c r="D15" s="80"/>
      <c r="E15" s="67"/>
    </row>
    <row r="16" customFormat="false" ht="15" hidden="false" customHeight="true" outlineLevel="0" collapsed="false">
      <c r="A16" s="84" t="n">
        <f aca="false">+'Hypothèse de base'!A46</f>
        <v>0</v>
      </c>
      <c r="B16" s="79" t="n">
        <f aca="false">+'Hypothèse de base'!D46</f>
        <v>0</v>
      </c>
      <c r="C16" s="79"/>
      <c r="D16" s="80"/>
      <c r="E16" s="67"/>
    </row>
    <row r="17" customFormat="false" ht="15" hidden="false" customHeight="true" outlineLevel="0" collapsed="false">
      <c r="A17" s="84" t="n">
        <f aca="false">+'Hypothèse de base'!A47</f>
        <v>0</v>
      </c>
      <c r="B17" s="79" t="n">
        <f aca="false">+'Hypothèse de base'!D47</f>
        <v>0</v>
      </c>
      <c r="C17" s="79"/>
      <c r="D17" s="80"/>
      <c r="E17" s="67"/>
    </row>
    <row r="18" customFormat="false" ht="15" hidden="false" customHeight="true" outlineLevel="0" collapsed="false">
      <c r="A18" s="84" t="n">
        <f aca="false">+'Hypothèse de base'!A48</f>
        <v>0</v>
      </c>
      <c r="B18" s="79" t="n">
        <f aca="false">+'Hypothèse de base'!D48</f>
        <v>0</v>
      </c>
      <c r="C18" s="79"/>
      <c r="D18" s="80"/>
      <c r="E18" s="67"/>
    </row>
    <row r="19" customFormat="false" ht="15.75" hidden="false" customHeight="true" outlineLevel="0" collapsed="false">
      <c r="A19" s="81" t="s">
        <v>154</v>
      </c>
      <c r="B19" s="82" t="n">
        <f aca="false">SUM(B20:B27)</f>
        <v>1495000</v>
      </c>
      <c r="C19" s="82"/>
      <c r="D19" s="83"/>
      <c r="E19" s="67"/>
    </row>
    <row r="20" customFormat="false" ht="15" hidden="false" customHeight="true" outlineLevel="0" collapsed="false">
      <c r="A20" s="84" t="str">
        <f aca="false">+'Hypothèse de base'!A54</f>
        <v>Préparation et aménagement de la parcelle</v>
      </c>
      <c r="B20" s="79" t="n">
        <f aca="false">+'Hypothèse de base'!D54</f>
        <v>30000</v>
      </c>
      <c r="C20" s="79"/>
      <c r="D20" s="80"/>
      <c r="E20" s="67"/>
    </row>
    <row r="21" customFormat="false" ht="15" hidden="false" customHeight="true" outlineLevel="0" collapsed="false">
      <c r="A21" s="84" t="str">
        <f aca="false">'Hypothèse de base'!A55</f>
        <v>Pompe de surface et accessoires</v>
      </c>
      <c r="B21" s="79" t="n">
        <f aca="false">+'Hypothèse de base'!D55</f>
        <v>400000</v>
      </c>
      <c r="C21" s="79"/>
      <c r="D21" s="80"/>
      <c r="E21" s="67"/>
    </row>
    <row r="22" customFormat="false" ht="15" hidden="false" customHeight="true" outlineLevel="0" collapsed="false">
      <c r="A22" s="84" t="str">
        <f aca="false">'Hypothèse de base'!A56</f>
        <v>Réservoir d’eau</v>
      </c>
      <c r="B22" s="79" t="n">
        <f aca="false">+'Hypothèse de base'!D56</f>
        <v>300000</v>
      </c>
      <c r="C22" s="79"/>
      <c r="D22" s="80"/>
      <c r="E22" s="67"/>
    </row>
    <row r="23" customFormat="false" ht="15" hidden="false" customHeight="true" outlineLevel="0" collapsed="false">
      <c r="A23" s="84" t="str">
        <f aca="false">+'Hypothèse de base'!A57</f>
        <v>Plastique pour le paillage (150 m²)</v>
      </c>
      <c r="B23" s="79" t="n">
        <f aca="false">+'Hypothèse de base'!D57</f>
        <v>300000</v>
      </c>
      <c r="C23" s="79"/>
      <c r="D23" s="80"/>
      <c r="E23" s="67"/>
    </row>
    <row r="24" customFormat="false" ht="15" hidden="false" customHeight="true" outlineLevel="0" collapsed="false">
      <c r="A24" s="84" t="str">
        <f aca="false">'Hypothèse de base'!A58</f>
        <v>Système d’irrigation goutte-à-goutte (tuyaux, bouchons, coudes, injecteur, vannes, filtre, gaine)</v>
      </c>
      <c r="B24" s="79" t="n">
        <f aca="false">'Hypothèse de base'!D58</f>
        <v>465000</v>
      </c>
      <c r="C24" s="79"/>
      <c r="D24" s="80"/>
      <c r="E24" s="67"/>
    </row>
    <row r="25" customFormat="false" ht="15" hidden="false" customHeight="true" outlineLevel="0" collapsed="false">
      <c r="A25" s="84" t="n">
        <f aca="false">'Hypothèse de base'!A59</f>
        <v>0</v>
      </c>
      <c r="B25" s="79" t="n">
        <f aca="false">'Hypothèse de base'!D59</f>
        <v>0</v>
      </c>
      <c r="C25" s="79"/>
      <c r="D25" s="80"/>
      <c r="E25" s="67"/>
    </row>
    <row r="26" customFormat="false" ht="15" hidden="false" customHeight="true" outlineLevel="0" collapsed="false">
      <c r="A26" s="84" t="n">
        <f aca="false">'Hypothèse de base'!A60</f>
        <v>0</v>
      </c>
      <c r="B26" s="79" t="n">
        <f aca="false">'Hypothèse de base'!D60</f>
        <v>0</v>
      </c>
      <c r="C26" s="79"/>
      <c r="D26" s="80"/>
      <c r="E26" s="67"/>
    </row>
    <row r="27" customFormat="false" ht="15" hidden="false" customHeight="true" outlineLevel="0" collapsed="false">
      <c r="A27" s="84" t="n">
        <f aca="false">'Hypothèse de base'!A61</f>
        <v>0</v>
      </c>
      <c r="B27" s="79" t="n">
        <f aca="false">'Hypothèse de base'!D61</f>
        <v>0</v>
      </c>
      <c r="C27" s="79"/>
      <c r="D27" s="80"/>
      <c r="E27" s="67"/>
    </row>
    <row r="28" customFormat="false" ht="15.75" hidden="false" customHeight="true" outlineLevel="0" collapsed="false">
      <c r="A28" s="85" t="s">
        <v>121</v>
      </c>
      <c r="B28" s="82" t="n">
        <f aca="false">SUM(B29:B33)</f>
        <v>0</v>
      </c>
      <c r="C28" s="82"/>
      <c r="D28" s="83"/>
      <c r="E28" s="67"/>
    </row>
    <row r="29" customFormat="false" ht="15" hidden="false" customHeight="true" outlineLevel="0" collapsed="false">
      <c r="A29" s="84" t="n">
        <f aca="false">+'Hypothèse de base'!A68</f>
        <v>0</v>
      </c>
      <c r="B29" s="79" t="n">
        <f aca="false">+'Hypothèse de base'!D68</f>
        <v>0</v>
      </c>
      <c r="C29" s="79"/>
      <c r="D29" s="80"/>
      <c r="E29" s="67"/>
    </row>
    <row r="30" customFormat="false" ht="15" hidden="false" customHeight="true" outlineLevel="0" collapsed="false">
      <c r="A30" s="84" t="n">
        <f aca="false">+'Hypothèse de base'!A69</f>
        <v>0</v>
      </c>
      <c r="B30" s="79" t="n">
        <f aca="false">+'Hypothèse de base'!D69</f>
        <v>0</v>
      </c>
      <c r="C30" s="79"/>
      <c r="D30" s="80"/>
      <c r="E30" s="67"/>
    </row>
    <row r="31" customFormat="false" ht="15" hidden="false" customHeight="true" outlineLevel="0" collapsed="false">
      <c r="A31" s="84" t="n">
        <f aca="false">+'Hypothèse de base'!A70</f>
        <v>0</v>
      </c>
      <c r="B31" s="79" t="n">
        <f aca="false">+'Hypothèse de base'!D70</f>
        <v>0</v>
      </c>
      <c r="C31" s="79"/>
      <c r="D31" s="80"/>
      <c r="E31" s="67"/>
    </row>
    <row r="32" customFormat="false" ht="15" hidden="false" customHeight="true" outlineLevel="0" collapsed="false">
      <c r="A32" s="84" t="n">
        <f aca="false">+'Hypothèse de base'!A71</f>
        <v>0</v>
      </c>
      <c r="B32" s="79" t="n">
        <f aca="false">+'Hypothèse de base'!D71</f>
        <v>0</v>
      </c>
      <c r="C32" s="79"/>
      <c r="D32" s="80"/>
      <c r="E32" s="67"/>
    </row>
    <row r="33" customFormat="false" ht="15" hidden="false" customHeight="true" outlineLevel="0" collapsed="false">
      <c r="A33" s="84" t="n">
        <f aca="false">+'Hypothèse de base'!A72</f>
        <v>0</v>
      </c>
      <c r="B33" s="79" t="n">
        <f aca="false">+'Hypothèse de base'!D72</f>
        <v>0</v>
      </c>
      <c r="C33" s="79"/>
      <c r="D33" s="80"/>
      <c r="E33" s="67"/>
    </row>
    <row r="34" customFormat="false" ht="18" hidden="false" customHeight="true" outlineLevel="0" collapsed="false">
      <c r="A34" s="81" t="s">
        <v>122</v>
      </c>
      <c r="B34" s="82" t="n">
        <f aca="false">SUM(B35:B39)</f>
        <v>214000</v>
      </c>
      <c r="C34" s="82"/>
      <c r="D34" s="83"/>
      <c r="E34" s="67"/>
      <c r="I34" s="86"/>
    </row>
    <row r="35" customFormat="false" ht="15" hidden="false" customHeight="true" outlineLevel="0" collapsed="false">
      <c r="A35" s="84" t="str">
        <f aca="false">+'Hypothèse de base'!A78</f>
        <v>Brouette</v>
      </c>
      <c r="B35" s="79" t="n">
        <f aca="false">+'Hypothèse de base'!D78</f>
        <v>60000</v>
      </c>
      <c r="C35" s="79"/>
      <c r="D35" s="80"/>
      <c r="E35" s="67"/>
    </row>
    <row r="36" customFormat="false" ht="15" hidden="false" customHeight="true" outlineLevel="0" collapsed="false">
      <c r="A36" s="84" t="str">
        <f aca="false">+'Hypothèse de base'!A79</f>
        <v>Arrosoirs</v>
      </c>
      <c r="B36" s="79" t="n">
        <f aca="false">+'Hypothèse de base'!D79</f>
        <v>9000</v>
      </c>
      <c r="C36" s="79"/>
      <c r="D36" s="80"/>
      <c r="E36" s="67"/>
    </row>
    <row r="37" customFormat="false" ht="15" hidden="false" customHeight="true" outlineLevel="0" collapsed="false">
      <c r="A37" s="84" t="str">
        <f aca="false">+'Hypothèse de base'!A80</f>
        <v>Houes / daba / pelles (1 lot)</v>
      </c>
      <c r="B37" s="79" t="n">
        <f aca="false">+'Hypothèse de base'!D80</f>
        <v>25000</v>
      </c>
      <c r="C37" s="79"/>
      <c r="D37" s="80"/>
      <c r="E37" s="67"/>
    </row>
    <row r="38" customFormat="false" ht="15" hidden="false" customHeight="true" outlineLevel="0" collapsed="false">
      <c r="A38" s="84" t="str">
        <f aca="false">+'Hypothèse de base'!A81</f>
        <v>Caisses de récolte</v>
      </c>
      <c r="B38" s="79" t="n">
        <f aca="false">+'Hypothèse de base'!D81</f>
        <v>30000</v>
      </c>
      <c r="C38" s="79"/>
      <c r="D38" s="80"/>
      <c r="E38" s="67"/>
    </row>
    <row r="39" customFormat="false" ht="15" hidden="false" customHeight="true" outlineLevel="0" collapsed="false">
      <c r="A39" s="84" t="s">
        <v>155</v>
      </c>
      <c r="B39" s="79" t="n">
        <f aca="false">SUM('Hypothèse de base'!D82:D84)</f>
        <v>90000</v>
      </c>
      <c r="C39" s="79"/>
      <c r="D39" s="80"/>
      <c r="E39" s="67"/>
    </row>
    <row r="40" customFormat="false" ht="18" hidden="false" customHeight="true" outlineLevel="0" collapsed="false">
      <c r="A40" s="75" t="s">
        <v>156</v>
      </c>
      <c r="B40" s="76"/>
      <c r="C40" s="76" t="n">
        <f aca="false">SUM(B41:B45)</f>
        <v>800000</v>
      </c>
      <c r="D40" s="77" t="n">
        <f aca="false">C40/$C$46</f>
        <v>0.26152337365152</v>
      </c>
      <c r="E40" s="67"/>
    </row>
    <row r="41" customFormat="false" ht="15" hidden="false" customHeight="true" outlineLevel="0" collapsed="false">
      <c r="A41" s="78" t="s">
        <v>157</v>
      </c>
      <c r="B41" s="87" t="n">
        <f aca="false">ROUND(('Hypothèse de base'!I13+'Hypothèse de base'!I23)/4,0)</f>
        <v>151875</v>
      </c>
      <c r="C41" s="87"/>
      <c r="D41" s="74"/>
      <c r="E41" s="67"/>
      <c r="F41" s="88" t="n">
        <v>1</v>
      </c>
    </row>
    <row r="42" customFormat="false" ht="15" hidden="false" customHeight="true" outlineLevel="0" collapsed="false">
      <c r="A42" s="78" t="s">
        <v>158</v>
      </c>
      <c r="B42" s="87" t="n">
        <v>0</v>
      </c>
      <c r="C42" s="87"/>
      <c r="D42" s="74"/>
      <c r="E42" s="67"/>
      <c r="F42" s="89" t="n">
        <v>1</v>
      </c>
    </row>
    <row r="43" customFormat="false" ht="15" hidden="false" customHeight="true" outlineLevel="0" collapsed="false">
      <c r="A43" s="78" t="s">
        <v>159</v>
      </c>
      <c r="B43" s="87" t="n">
        <v>0</v>
      </c>
      <c r="C43" s="87"/>
      <c r="D43" s="74"/>
      <c r="E43" s="67"/>
      <c r="F43" s="90" t="n">
        <v>1</v>
      </c>
    </row>
    <row r="44" customFormat="false" ht="15" hidden="false" customHeight="true" outlineLevel="0" collapsed="false">
      <c r="A44" s="78" t="s">
        <v>160</v>
      </c>
      <c r="B44" s="87" t="n">
        <v>0</v>
      </c>
      <c r="C44" s="87"/>
      <c r="D44" s="74"/>
      <c r="E44" s="67"/>
      <c r="F44" s="91" t="n">
        <v>1</v>
      </c>
    </row>
    <row r="45" customFormat="false" ht="15" hidden="false" customHeight="true" outlineLevel="0" collapsed="false">
      <c r="A45" s="78" t="s">
        <v>161</v>
      </c>
      <c r="B45" s="87" t="n">
        <f aca="false">800000-B41</f>
        <v>648125</v>
      </c>
      <c r="C45" s="87"/>
      <c r="D45" s="74"/>
      <c r="E45" s="67"/>
    </row>
    <row r="46" customFormat="false" ht="21.75" hidden="false" customHeight="true" outlineLevel="0" collapsed="false">
      <c r="A46" s="92" t="s">
        <v>162</v>
      </c>
      <c r="B46" s="92"/>
      <c r="C46" s="86" t="n">
        <f aca="false">C4+C11+C40</f>
        <v>3059000</v>
      </c>
      <c r="D46" s="93"/>
      <c r="E46" s="67"/>
    </row>
    <row r="47" customFormat="false" ht="15" hidden="false" customHeight="true" outlineLevel="0" collapsed="false">
      <c r="A47" s="67"/>
      <c r="B47" s="68"/>
      <c r="C47" s="68"/>
      <c r="D47" s="68"/>
      <c r="E47" s="67"/>
    </row>
  </sheetData>
  <mergeCells count="2">
    <mergeCell ref="B2:C2"/>
    <mergeCell ref="A46:B4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4"/>
  <sheetViews>
    <sheetView showFormulas="false" showGridLines="true" showRowColHeaders="true" showZeros="true" rightToLeft="false" tabSelected="false" showOutlineSymbols="true" defaultGridColor="true" view="normal" topLeftCell="A13" colorId="64" zoomScale="110" zoomScaleNormal="110" zoomScalePageLayoutView="100" workbookViewId="0">
      <selection pane="topLeft" activeCell="A2" activeCellId="0" sqref="A2"/>
    </sheetView>
  </sheetViews>
  <sheetFormatPr defaultColWidth="11.453125" defaultRowHeight="13.5" zeroHeight="false" outlineLevelRow="0" outlineLevelCol="0"/>
  <cols>
    <col collapsed="false" customWidth="true" hidden="false" outlineLevel="0" max="1" min="1" style="94" width="55.82"/>
    <col collapsed="false" customWidth="false" hidden="false" outlineLevel="0" max="2" min="2" style="95" width="11.45"/>
    <col collapsed="false" customWidth="true" hidden="false" outlineLevel="0" max="3" min="3" style="95" width="14.45"/>
    <col collapsed="false" customWidth="true" hidden="false" outlineLevel="0" max="4" min="4" style="94" width="2.54"/>
    <col collapsed="false" customWidth="true" hidden="false" outlineLevel="0" max="5" min="5" style="94" width="21.45"/>
    <col collapsed="false" customWidth="true" hidden="false" outlineLevel="0" max="6" min="6" style="94" width="26"/>
    <col collapsed="false" customWidth="true" hidden="false" outlineLevel="0" max="7" min="7" style="96" width="6.54"/>
    <col collapsed="false" customWidth="false" hidden="false" outlineLevel="0" max="8" min="8" style="94" width="11.45"/>
    <col collapsed="false" customWidth="true" hidden="false" outlineLevel="0" max="16" min="9" style="97" width="2.54"/>
    <col collapsed="false" customWidth="false" hidden="true" outlineLevel="0" max="20" min="17" style="97" width="11.45"/>
    <col collapsed="false" customWidth="true" hidden="true" outlineLevel="0" max="21" min="21" style="97" width="16.54"/>
    <col collapsed="false" customWidth="true" hidden="true" outlineLevel="0" max="22" min="22" style="98" width="13.45"/>
    <col collapsed="false" customWidth="false" hidden="true" outlineLevel="0" max="30" min="23" style="97" width="11.45"/>
    <col collapsed="false" customWidth="false" hidden="false" outlineLevel="0" max="34" min="31" style="97" width="11.45"/>
    <col collapsed="false" customWidth="false" hidden="false" outlineLevel="0" max="16384" min="35" style="94" width="11.45"/>
  </cols>
  <sheetData>
    <row r="1" customFormat="false" ht="12.75" hidden="false" customHeight="true" outlineLevel="0" collapsed="false">
      <c r="A1" s="99"/>
      <c r="B1" s="99"/>
      <c r="C1" s="99"/>
      <c r="D1" s="99"/>
      <c r="E1" s="99"/>
      <c r="F1" s="99"/>
      <c r="G1" s="100"/>
      <c r="H1" s="99"/>
      <c r="I1" s="101"/>
    </row>
    <row r="2" customFormat="false" ht="21" hidden="false" customHeight="true" outlineLevel="0" collapsed="false">
      <c r="A2" s="102" t="s">
        <v>163</v>
      </c>
      <c r="B2" s="102"/>
      <c r="C2" s="103"/>
      <c r="D2" s="99"/>
      <c r="E2" s="104" t="s">
        <v>102</v>
      </c>
      <c r="F2" s="105" t="s">
        <v>164</v>
      </c>
      <c r="G2" s="106" t="s">
        <v>165</v>
      </c>
      <c r="H2" s="107" t="n">
        <v>0.1</v>
      </c>
      <c r="I2" s="101"/>
      <c r="W2" s="108" t="s">
        <v>166</v>
      </c>
      <c r="X2" s="108"/>
      <c r="Y2" s="108"/>
      <c r="Z2" s="109"/>
      <c r="AC2" s="97" t="s">
        <v>167</v>
      </c>
    </row>
    <row r="3" customFormat="false" ht="19.5" hidden="false" customHeight="true" outlineLevel="0" collapsed="false">
      <c r="A3" s="110"/>
      <c r="B3" s="110"/>
      <c r="C3" s="111"/>
      <c r="D3" s="99"/>
      <c r="E3" s="112" t="s">
        <v>168</v>
      </c>
      <c r="F3" s="113" t="s">
        <v>169</v>
      </c>
      <c r="G3" s="114" t="s">
        <v>170</v>
      </c>
      <c r="H3" s="115" t="n">
        <f aca="false">+IF(G3=$AC$11,$R$5,0)</f>
        <v>0</v>
      </c>
      <c r="I3" s="101"/>
      <c r="Q3" s="116"/>
      <c r="R3" s="116" t="n">
        <f aca="false">+IF(E3=S4,IF(E2=T4,U4,0),0)+IF(E3=S4,IF(E2=T5,U5),0)+IF(E3=S6,IF(E2=T6,U6,0),0)+IF(E3=S6,IF(E2=T7,U7,0),0)+IF(E3=S8,IF(E2=T4,U8,U8),0)+IF(E3=S9,IF(E2=T4,U8,U9),0)</f>
        <v>0.05</v>
      </c>
      <c r="U3" s="97" t="s">
        <v>164</v>
      </c>
      <c r="V3" s="98" t="s">
        <v>171</v>
      </c>
      <c r="W3" s="109" t="s">
        <v>172</v>
      </c>
      <c r="X3" s="109" t="s">
        <v>173</v>
      </c>
      <c r="Y3" s="109" t="s">
        <v>174</v>
      </c>
      <c r="Z3" s="109" t="s">
        <v>175</v>
      </c>
      <c r="AC3" s="97" t="s">
        <v>168</v>
      </c>
    </row>
    <row r="4" customFormat="false" ht="18" hidden="false" customHeight="true" outlineLevel="0" collapsed="false">
      <c r="A4" s="117" t="s">
        <v>176</v>
      </c>
      <c r="B4" s="118" t="n">
        <f aca="false">+B7+B10+B14</f>
        <v>1</v>
      </c>
      <c r="C4" s="119" t="n">
        <f aca="false">'Coût du projet'!C46</f>
        <v>3059000</v>
      </c>
      <c r="D4" s="99"/>
      <c r="E4" s="110"/>
      <c r="F4" s="113" t="s">
        <v>177</v>
      </c>
      <c r="G4" s="114" t="s">
        <v>170</v>
      </c>
      <c r="H4" s="115" t="n">
        <f aca="false">+IF(G4=$AC$11,$R$6,0)</f>
        <v>0</v>
      </c>
      <c r="I4" s="101"/>
      <c r="Q4" s="116"/>
      <c r="S4" s="120" t="s">
        <v>168</v>
      </c>
      <c r="T4" s="120" t="s">
        <v>102</v>
      </c>
      <c r="U4" s="121" t="n">
        <v>0.05</v>
      </c>
      <c r="V4" s="116"/>
      <c r="W4" s="122" t="n">
        <v>0.25</v>
      </c>
      <c r="X4" s="122" t="n">
        <v>0.25</v>
      </c>
      <c r="Y4" s="122" t="n">
        <v>0.25</v>
      </c>
      <c r="Z4" s="109"/>
      <c r="AC4" s="97" t="s">
        <v>178</v>
      </c>
    </row>
    <row r="5" customFormat="false" ht="12.75" hidden="false" customHeight="true" outlineLevel="0" collapsed="false">
      <c r="A5" s="110"/>
      <c r="B5" s="110"/>
      <c r="C5" s="111"/>
      <c r="D5" s="99"/>
      <c r="E5" s="110"/>
      <c r="F5" s="123" t="s">
        <v>179</v>
      </c>
      <c r="G5" s="124" t="s">
        <v>165</v>
      </c>
      <c r="H5" s="125" t="n">
        <f aca="false">+IF(E3=S4,R8,0)+IF(E3=S6,R8,0)+IF(E3=S8,V8,0)+IF(E3=S9,(R8-H6),0)</f>
        <v>0.9</v>
      </c>
      <c r="I5" s="101"/>
      <c r="Q5" s="116"/>
      <c r="R5" s="116" t="n">
        <f aca="false">+IF(E3=S4,IF(E2=T4,W4),0)+IF(E3=S4,IF(E2=T5,W5),0)+IF(E3=S6,IF(E2=T6,W4),0)+IF(E3=S6,IF(E2=T7,W7),0)+IF(E2=S10,U10,0)+IF(E3=S9,IF(E2=T4,W4,0))+IF(E3=S9,IF(E2=T5,W5,0))</f>
        <v>0.25</v>
      </c>
      <c r="S5" s="120"/>
      <c r="T5" s="120" t="s">
        <v>103</v>
      </c>
      <c r="U5" s="121" t="n">
        <v>0.05</v>
      </c>
      <c r="V5" s="116"/>
      <c r="W5" s="122" t="n">
        <v>0.3</v>
      </c>
      <c r="X5" s="122" t="n">
        <v>0.3</v>
      </c>
      <c r="Y5" s="122" t="n">
        <v>0.3</v>
      </c>
      <c r="Z5" s="109"/>
      <c r="AC5" s="97" t="s">
        <v>180</v>
      </c>
    </row>
    <row r="6" customFormat="false" ht="18" hidden="false" customHeight="true" outlineLevel="0" collapsed="false">
      <c r="A6" s="126" t="s">
        <v>181</v>
      </c>
      <c r="B6" s="127"/>
      <c r="C6" s="128"/>
      <c r="D6" s="99"/>
      <c r="E6" s="110"/>
      <c r="F6" s="123" t="s">
        <v>175</v>
      </c>
      <c r="G6" s="124" t="s">
        <v>165</v>
      </c>
      <c r="H6" s="129" t="n">
        <f aca="false">+IF(E3=S8,Z8,0)+IF(E3=S9,Z9,0)</f>
        <v>0</v>
      </c>
      <c r="I6" s="101"/>
      <c r="Q6" s="116"/>
      <c r="R6" s="116" t="n">
        <f aca="false">+IF(E3=S4,IF(E2=T4,X4),0)+IF(E3=S4,IF(E2=T5,X5),0)+IF(E3=S6,IF(E2=T6,X4),0)+IF(E3=S6,IF(E2=T7,X7),0)+IF(E3=S9,IF(E2=T4,W4,0))+IF(E3=S9,IF(E2=T5,X5,0))</f>
        <v>0.25</v>
      </c>
      <c r="S6" s="130" t="s">
        <v>178</v>
      </c>
      <c r="T6" s="130" t="s">
        <v>102</v>
      </c>
      <c r="U6" s="131" t="n">
        <v>0.1</v>
      </c>
      <c r="V6" s="116"/>
      <c r="W6" s="122" t="n">
        <v>0.25</v>
      </c>
      <c r="X6" s="122" t="n">
        <v>0.25</v>
      </c>
      <c r="Y6" s="122" t="n">
        <v>0.25</v>
      </c>
      <c r="Z6" s="109"/>
      <c r="AC6" s="97" t="s">
        <v>182</v>
      </c>
    </row>
    <row r="7" customFormat="false" ht="15.75" hidden="false" customHeight="true" outlineLevel="0" collapsed="false">
      <c r="A7" s="132" t="s">
        <v>183</v>
      </c>
      <c r="B7" s="133" t="n">
        <f aca="false">+SUM(B8:B9)</f>
        <v>0.1</v>
      </c>
      <c r="C7" s="134" t="n">
        <f aca="false">SUM(C8:C9)</f>
        <v>305900</v>
      </c>
      <c r="D7" s="99"/>
      <c r="E7" s="110"/>
      <c r="F7" s="135" t="s">
        <v>184</v>
      </c>
      <c r="G7" s="136" t="s">
        <v>170</v>
      </c>
      <c r="H7" s="137" t="n">
        <f aca="false">+IF(G7=$AC$11,$R$7,0)</f>
        <v>0</v>
      </c>
      <c r="I7" s="101"/>
      <c r="Q7" s="116" t="n">
        <f aca="false">+Y9-H3-H4-H7</f>
        <v>0</v>
      </c>
      <c r="R7" s="116" t="n">
        <f aca="false">+IF(E3=S4,IF(E2=T4,Y4),0)+IF(E3=S4,IF(E2=T5,Y5),0)+IF(E3=S6,IF(E2=T6,Y4),0)+IF(E3=S6,IF(E2=T7,Y7),0)+IF(E3=S9,IF(E2=T4,W4,0))+IF(E3=S9,IF(E2=T5,W5,0))</f>
        <v>0.25</v>
      </c>
      <c r="S7" s="130"/>
      <c r="T7" s="130" t="s">
        <v>103</v>
      </c>
      <c r="U7" s="131" t="n">
        <v>0.1</v>
      </c>
      <c r="V7" s="116"/>
      <c r="W7" s="122" t="n">
        <v>0.3</v>
      </c>
      <c r="X7" s="122" t="n">
        <v>0.3</v>
      </c>
      <c r="Y7" s="122" t="n">
        <v>0.3</v>
      </c>
      <c r="Z7" s="109"/>
    </row>
    <row r="8" customFormat="false" ht="14.25" hidden="false" customHeight="true" outlineLevel="0" collapsed="false">
      <c r="A8" s="138" t="s">
        <v>185</v>
      </c>
      <c r="B8" s="139" t="n">
        <f aca="false">+H2</f>
        <v>0.1</v>
      </c>
      <c r="C8" s="140" t="n">
        <f aca="false">B8*C4</f>
        <v>305900</v>
      </c>
      <c r="D8" s="99"/>
      <c r="I8" s="101"/>
      <c r="Q8" s="116" t="n">
        <f aca="false">+Q7</f>
        <v>0</v>
      </c>
      <c r="R8" s="116" t="n">
        <f aca="false">100%-H2-H3-H4</f>
        <v>0.9</v>
      </c>
      <c r="S8" s="98" t="s">
        <v>186</v>
      </c>
      <c r="T8" s="98"/>
      <c r="U8" s="116" t="n">
        <v>0.05</v>
      </c>
      <c r="V8" s="116" t="n">
        <v>0.25</v>
      </c>
      <c r="W8" s="108"/>
      <c r="X8" s="108"/>
      <c r="Y8" s="122"/>
      <c r="Z8" s="122" t="n">
        <v>0.7</v>
      </c>
      <c r="AC8" s="97" t="s">
        <v>102</v>
      </c>
    </row>
    <row r="9" customFormat="false" ht="14.25" hidden="false" customHeight="true" outlineLevel="0" collapsed="false">
      <c r="A9" s="138"/>
      <c r="B9" s="139"/>
      <c r="C9" s="140"/>
      <c r="D9" s="101"/>
      <c r="E9" s="141"/>
      <c r="F9" s="141"/>
      <c r="G9" s="142"/>
      <c r="H9" s="141"/>
      <c r="I9" s="101"/>
      <c r="Q9" s="143" t="n">
        <f aca="false">+R10</f>
        <v>0.3</v>
      </c>
      <c r="S9" s="144" t="s">
        <v>182</v>
      </c>
      <c r="U9" s="116" t="n">
        <v>0.05</v>
      </c>
      <c r="V9" s="116" t="n">
        <v>0.65</v>
      </c>
      <c r="W9" s="109"/>
      <c r="X9" s="109"/>
      <c r="Y9" s="122"/>
      <c r="Z9" s="122" t="n">
        <v>0.3</v>
      </c>
      <c r="AC9" s="97" t="s">
        <v>103</v>
      </c>
    </row>
    <row r="10" customFormat="false" ht="15.75" hidden="false" customHeight="true" outlineLevel="0" collapsed="false">
      <c r="A10" s="132" t="s">
        <v>187</v>
      </c>
      <c r="B10" s="133" t="n">
        <f aca="false">+SUM(B11:B13)</f>
        <v>0</v>
      </c>
      <c r="C10" s="134" t="n">
        <f aca="false">+SUM(C11:C13)</f>
        <v>0</v>
      </c>
      <c r="D10" s="99"/>
      <c r="E10" s="141"/>
      <c r="F10" s="141"/>
      <c r="G10" s="142"/>
      <c r="H10" s="141"/>
      <c r="I10" s="101"/>
      <c r="R10" s="143" t="n">
        <v>0.3</v>
      </c>
      <c r="S10" s="97" t="s">
        <v>167</v>
      </c>
      <c r="T10" s="120" t="s">
        <v>102</v>
      </c>
      <c r="U10" s="98" t="n">
        <v>0</v>
      </c>
      <c r="W10" s="109"/>
      <c r="X10" s="109"/>
      <c r="Y10" s="109"/>
      <c r="Z10" s="109"/>
    </row>
    <row r="11" customFormat="false" ht="14.25" hidden="false" customHeight="true" outlineLevel="0" collapsed="false">
      <c r="A11" s="138" t="s">
        <v>188</v>
      </c>
      <c r="B11" s="139" t="n">
        <f aca="false">C11/C4</f>
        <v>0</v>
      </c>
      <c r="C11" s="140" t="n">
        <f aca="false">IF((H3*$C$4)&lt;=1000000,(H3*$C$4),1000000)</f>
        <v>0</v>
      </c>
      <c r="D11" s="99"/>
      <c r="E11" s="141"/>
      <c r="F11" s="141"/>
      <c r="G11" s="142"/>
      <c r="H11" s="141"/>
      <c r="I11" s="101"/>
      <c r="T11" s="120" t="s">
        <v>103</v>
      </c>
      <c r="AC11" s="97" t="s">
        <v>189</v>
      </c>
    </row>
    <row r="12" customFormat="false" ht="14.25" hidden="false" customHeight="true" outlineLevel="0" collapsed="false">
      <c r="A12" s="138" t="s">
        <v>190</v>
      </c>
      <c r="B12" s="139" t="n">
        <f aca="false">+C12/C4</f>
        <v>0</v>
      </c>
      <c r="C12" s="140" t="n">
        <f aca="false">IF((H4*$C$4)&lt;=1000000,(H4*$C$4),1000000)</f>
        <v>0</v>
      </c>
      <c r="D12" s="99"/>
      <c r="E12" s="141"/>
      <c r="F12" s="141"/>
      <c r="G12" s="142"/>
      <c r="H12" s="141"/>
      <c r="I12" s="101"/>
      <c r="AC12" s="97" t="s">
        <v>170</v>
      </c>
    </row>
    <row r="13" customFormat="false" ht="14.25" hidden="false" customHeight="true" outlineLevel="0" collapsed="false">
      <c r="A13" s="138" t="s">
        <v>191</v>
      </c>
      <c r="B13" s="139" t="n">
        <f aca="false">+H6</f>
        <v>0</v>
      </c>
      <c r="C13" s="140" t="n">
        <f aca="false">B13*$C$4</f>
        <v>0</v>
      </c>
      <c r="D13" s="99"/>
      <c r="E13" s="141"/>
      <c r="F13" s="110"/>
      <c r="G13" s="145"/>
      <c r="H13" s="141"/>
      <c r="I13" s="101"/>
    </row>
    <row r="14" customFormat="false" ht="15.75" hidden="false" customHeight="true" outlineLevel="0" collapsed="false">
      <c r="A14" s="132" t="s">
        <v>192</v>
      </c>
      <c r="B14" s="133" t="n">
        <f aca="false">+B15</f>
        <v>0.9</v>
      </c>
      <c r="C14" s="134" t="n">
        <f aca="false">+C15</f>
        <v>2753100</v>
      </c>
      <c r="D14" s="146"/>
      <c r="E14" s="141"/>
      <c r="F14" s="110"/>
      <c r="G14" s="145"/>
      <c r="H14" s="141"/>
      <c r="I14" s="101"/>
      <c r="Q14" s="144"/>
      <c r="R14" s="144"/>
      <c r="AC14" s="97" t="s">
        <v>193</v>
      </c>
    </row>
    <row r="15" customFormat="false" ht="15" hidden="false" customHeight="true" outlineLevel="0" collapsed="false">
      <c r="A15" s="147" t="s">
        <v>194</v>
      </c>
      <c r="B15" s="148" t="n">
        <f aca="false">+H5</f>
        <v>0.9</v>
      </c>
      <c r="C15" s="149" t="n">
        <f aca="false">C4-C7-C10</f>
        <v>2753100</v>
      </c>
      <c r="D15" s="146"/>
      <c r="E15" s="141"/>
      <c r="F15" s="110"/>
      <c r="G15" s="145"/>
      <c r="H15" s="141"/>
      <c r="I15" s="101"/>
      <c r="Q15" s="144"/>
      <c r="R15" s="144"/>
      <c r="AC15" s="97" t="s">
        <v>195</v>
      </c>
    </row>
    <row r="16" customFormat="false" ht="18" hidden="false" customHeight="true" outlineLevel="0" collapsed="false">
      <c r="A16" s="150" t="s">
        <v>196</v>
      </c>
      <c r="B16" s="151"/>
      <c r="C16" s="152" t="b">
        <f aca="false">C4=C7+C10+C14</f>
        <v>1</v>
      </c>
      <c r="D16" s="99"/>
      <c r="E16" s="110"/>
      <c r="F16" s="110"/>
      <c r="G16" s="145"/>
      <c r="H16" s="110"/>
      <c r="I16" s="101"/>
      <c r="AC16" s="97" t="s">
        <v>197</v>
      </c>
    </row>
    <row r="17" customFormat="false" ht="14.25" hidden="false" customHeight="true" outlineLevel="0" collapsed="false">
      <c r="A17" s="153" t="s">
        <v>198</v>
      </c>
      <c r="B17" s="154" t="n">
        <f aca="false">+H7</f>
        <v>0</v>
      </c>
      <c r="C17" s="155" t="n">
        <f aca="false">IF((H7*$C$4)&lt;=1000000,(H7*$C$4),1000000)</f>
        <v>0</v>
      </c>
      <c r="D17" s="99"/>
      <c r="E17" s="141"/>
      <c r="F17" s="141"/>
      <c r="G17" s="142"/>
      <c r="H17" s="141"/>
      <c r="I17" s="101"/>
    </row>
    <row r="18" customFormat="false" ht="14.25" hidden="false" customHeight="true" outlineLevel="0" collapsed="false">
      <c r="A18" s="156" t="s">
        <v>199</v>
      </c>
      <c r="B18" s="157"/>
      <c r="C18" s="158"/>
      <c r="D18" s="99"/>
      <c r="E18" s="110"/>
      <c r="F18" s="110"/>
      <c r="G18" s="145"/>
      <c r="H18" s="110"/>
      <c r="I18" s="101"/>
    </row>
    <row r="19" customFormat="false" ht="14.25" hidden="false" customHeight="true" outlineLevel="0" collapsed="false">
      <c r="A19" s="159" t="s">
        <v>200</v>
      </c>
      <c r="B19" s="160" t="n">
        <v>60</v>
      </c>
      <c r="C19" s="161" t="s">
        <v>197</v>
      </c>
      <c r="D19" s="99"/>
      <c r="E19" s="110"/>
      <c r="F19" s="110"/>
      <c r="G19" s="145"/>
      <c r="H19" s="110"/>
      <c r="I19" s="101"/>
    </row>
    <row r="20" customFormat="false" ht="14.25" hidden="false" customHeight="true" outlineLevel="0" collapsed="false">
      <c r="A20" s="159" t="s">
        <v>201</v>
      </c>
      <c r="B20" s="162" t="n">
        <v>0.08</v>
      </c>
      <c r="C20" s="161" t="s">
        <v>193</v>
      </c>
      <c r="D20" s="99"/>
      <c r="E20" s="110"/>
      <c r="F20" s="110"/>
      <c r="G20" s="145"/>
      <c r="H20" s="110"/>
      <c r="I20" s="101"/>
    </row>
    <row r="21" customFormat="false" ht="14.25" hidden="false" customHeight="true" outlineLevel="0" collapsed="false">
      <c r="A21" s="159" t="s">
        <v>202</v>
      </c>
      <c r="B21" s="160" t="n">
        <v>6</v>
      </c>
      <c r="C21" s="161" t="s">
        <v>203</v>
      </c>
      <c r="D21" s="99"/>
      <c r="E21" s="110"/>
      <c r="F21" s="110"/>
      <c r="G21" s="145"/>
      <c r="H21" s="110"/>
      <c r="I21" s="101"/>
    </row>
    <row r="22" customFormat="false" ht="14.25" hidden="false" customHeight="true" outlineLevel="0" collapsed="false">
      <c r="A22" s="159" t="s">
        <v>204</v>
      </c>
      <c r="B22" s="160" t="n">
        <v>60</v>
      </c>
      <c r="C22" s="161" t="s">
        <v>203</v>
      </c>
      <c r="D22" s="99"/>
      <c r="E22" s="110"/>
      <c r="F22" s="110"/>
      <c r="G22" s="145"/>
      <c r="H22" s="110"/>
      <c r="I22" s="101"/>
    </row>
    <row r="23" customFormat="false" ht="15" hidden="false" customHeight="true" outlineLevel="0" collapsed="false">
      <c r="A23" s="163" t="s">
        <v>205</v>
      </c>
      <c r="B23" s="164" t="n">
        <v>0.17</v>
      </c>
      <c r="C23" s="165"/>
      <c r="D23" s="99"/>
      <c r="E23" s="110"/>
      <c r="F23" s="110"/>
      <c r="G23" s="145"/>
      <c r="H23" s="110"/>
      <c r="I23" s="101"/>
    </row>
    <row r="24" customFormat="false" ht="14.25" hidden="false" customHeight="true" outlineLevel="0" collapsed="false">
      <c r="A24" s="99"/>
      <c r="B24" s="99"/>
      <c r="C24" s="99"/>
      <c r="D24" s="99"/>
      <c r="E24" s="99"/>
      <c r="F24" s="99"/>
      <c r="G24" s="100"/>
      <c r="H24" s="99"/>
      <c r="I24" s="101"/>
    </row>
  </sheetData>
  <sheetProtection algorithmName="SHA-512" hashValue="sw56bkDVDPtkpOCUBee49WhTRyzh8eBmeLB7COpkd1WM87ya0GxBE5PyGTtLHwBuv2Jf2jKa11E0cOEjGX+KiA==" saltValue="ppffRpS0Eq7r2mPobOUYKg==" spinCount="100000" sheet="true" formatCells="false"/>
  <mergeCells count="1">
    <mergeCell ref="W2:Y2"/>
  </mergeCells>
  <conditionalFormatting sqref="C11:C12 C17">
    <cfRule type="cellIs" priority="2" operator="greaterThan" aboveAverage="0" equalAverage="0" bottom="0" percent="0" rank="0" text="" dxfId="0">
      <formula>1000000</formula>
    </cfRule>
  </conditionalFormatting>
  <dataValidations count="4">
    <dataValidation allowBlank="true" errorStyle="stop" operator="between" showDropDown="false" showErrorMessage="true" showInputMessage="true" sqref="E3" type="list">
      <formula1>$AC$3:$AC$6</formula1>
      <formula2>0</formula2>
    </dataValidation>
    <dataValidation allowBlank="true" errorStyle="stop" operator="between" showDropDown="false" showErrorMessage="true" showInputMessage="true" sqref="E2" type="list">
      <formula1>$AC$8:$AC$9</formula1>
      <formula2>0</formula2>
    </dataValidation>
    <dataValidation allowBlank="true" errorStyle="stop" operator="between" showDropDown="false" showErrorMessage="true" showInputMessage="true" sqref="G3:G4 G7" type="list">
      <formula1>$AC$11:$AC$12</formula1>
      <formula2>0</formula2>
    </dataValidation>
    <dataValidation allowBlank="true" errorStyle="stop" operator="between" showDropDown="false" showErrorMessage="true" showInputMessage="true" sqref="C19:C22" type="list">
      <formula1>$AC$14:$AC$16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453125" defaultRowHeight="14.2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11.453125" defaultRowHeight="13.5" zeroHeight="false" outlineLevelRow="0" outlineLevelCol="0"/>
  <cols>
    <col collapsed="false" customWidth="true" hidden="false" outlineLevel="0" max="1" min="1" style="166" width="46.18"/>
    <col collapsed="false" customWidth="true" hidden="false" outlineLevel="0" max="6" min="2" style="167" width="16.09"/>
    <col collapsed="false" customWidth="true" hidden="false" outlineLevel="0" max="7" min="7" style="166" width="3.45"/>
    <col collapsed="false" customWidth="true" hidden="false" outlineLevel="0" max="8" min="8" style="166" width="14.09"/>
    <col collapsed="false" customWidth="false" hidden="false" outlineLevel="0" max="9" min="9" style="166" width="11.45"/>
    <col collapsed="false" customWidth="true" hidden="false" outlineLevel="0" max="10" min="10" style="166" width="14.45"/>
    <col collapsed="false" customWidth="false" hidden="false" outlineLevel="0" max="16384" min="11" style="166" width="11.45"/>
  </cols>
  <sheetData>
    <row r="1" customFormat="false" ht="14.25" hidden="false" customHeight="true" outlineLevel="0" collapsed="false">
      <c r="A1" s="168"/>
      <c r="B1" s="169"/>
      <c r="C1" s="169"/>
      <c r="D1" s="169"/>
      <c r="E1" s="169"/>
      <c r="F1" s="169"/>
      <c r="G1" s="168"/>
    </row>
    <row r="2" customFormat="false" ht="20.25" hidden="false" customHeight="true" outlineLevel="0" collapsed="false">
      <c r="A2" s="102" t="s">
        <v>206</v>
      </c>
      <c r="B2" s="170"/>
      <c r="C2" s="170"/>
      <c r="D2" s="170"/>
      <c r="E2" s="170"/>
      <c r="F2" s="170"/>
      <c r="G2" s="168"/>
    </row>
    <row r="3" customFormat="false" ht="15" hidden="false" customHeight="true" outlineLevel="0" collapsed="false">
      <c r="A3" s="171"/>
      <c r="B3" s="172"/>
      <c r="C3" s="172"/>
      <c r="D3" s="172"/>
      <c r="E3" s="172"/>
      <c r="F3" s="172"/>
      <c r="G3" s="168"/>
    </row>
    <row r="4" customFormat="false" ht="18" hidden="false" customHeight="true" outlineLevel="0" collapsed="false">
      <c r="A4" s="117" t="s">
        <v>207</v>
      </c>
      <c r="B4" s="173"/>
      <c r="C4" s="173"/>
      <c r="D4" s="173"/>
      <c r="E4" s="173"/>
      <c r="F4" s="173"/>
      <c r="G4" s="168"/>
    </row>
    <row r="5" customFormat="false" ht="14.25" hidden="false" customHeight="true" outlineLevel="0" collapsed="false">
      <c r="A5" s="174" t="s">
        <v>208</v>
      </c>
      <c r="B5" s="175" t="n">
        <v>0</v>
      </c>
      <c r="C5" s="175" t="n">
        <v>0.02</v>
      </c>
      <c r="D5" s="175" t="n">
        <v>0.02</v>
      </c>
      <c r="E5" s="175" t="n">
        <v>0.02</v>
      </c>
      <c r="F5" s="175" t="n">
        <v>0.02</v>
      </c>
      <c r="G5" s="168"/>
    </row>
    <row r="6" customFormat="false" ht="15.75" hidden="false" customHeight="true" outlineLevel="0" collapsed="false">
      <c r="A6" s="176" t="s">
        <v>209</v>
      </c>
      <c r="B6" s="177" t="s">
        <v>210</v>
      </c>
      <c r="C6" s="177" t="s">
        <v>211</v>
      </c>
      <c r="D6" s="177" t="s">
        <v>212</v>
      </c>
      <c r="E6" s="177" t="s">
        <v>213</v>
      </c>
      <c r="F6" s="177" t="s">
        <v>214</v>
      </c>
      <c r="G6" s="168"/>
    </row>
    <row r="7" customFormat="false" ht="14.25" hidden="false" customHeight="true" outlineLevel="0" collapsed="false">
      <c r="A7" s="178" t="str">
        <f aca="false">+'Hypothèse de base'!A106</f>
        <v>Vente piment frais</v>
      </c>
      <c r="B7" s="179" t="n">
        <f aca="false">+'Hypothèse de base'!I106</f>
        <v>6400000</v>
      </c>
      <c r="C7" s="179" t="n">
        <f aca="false">B7+(B7*$C$5)</f>
        <v>6528000</v>
      </c>
      <c r="D7" s="179" t="n">
        <f aca="false">C7+(C7*$D$5)</f>
        <v>6658560</v>
      </c>
      <c r="E7" s="179" t="n">
        <f aca="false">D7+(D7*$E$5)</f>
        <v>6791731.2</v>
      </c>
      <c r="F7" s="179" t="n">
        <f aca="false">E7+(E7*$F$5)</f>
        <v>6927565.824</v>
      </c>
      <c r="G7" s="168"/>
    </row>
    <row r="8" customFormat="false" ht="14.25" hidden="false" customHeight="true" outlineLevel="0" collapsed="false">
      <c r="A8" s="178" t="str">
        <f aca="false">+'Hypothèse de base'!A107</f>
        <v>Vente piment séché</v>
      </c>
      <c r="B8" s="179" t="n">
        <f aca="false">+'Hypothèse de base'!I107</f>
        <v>1200000</v>
      </c>
      <c r="C8" s="179" t="n">
        <f aca="false">B8+(B8*$C$5)</f>
        <v>1224000</v>
      </c>
      <c r="D8" s="179" t="n">
        <f aca="false">C8+(C8*$D$5)</f>
        <v>1248480</v>
      </c>
      <c r="E8" s="179" t="n">
        <f aca="false">D8+(D8*$E$5)</f>
        <v>1273449.6</v>
      </c>
      <c r="F8" s="179" t="n">
        <f aca="false">E8+(E8*$F$5)</f>
        <v>1298918.592</v>
      </c>
      <c r="G8" s="168"/>
    </row>
    <row r="9" customFormat="false" ht="14.25" hidden="false" customHeight="true" outlineLevel="0" collapsed="false">
      <c r="A9" s="178" t="n">
        <f aca="false">+'Hypothèse de base'!A108</f>
        <v>0</v>
      </c>
      <c r="B9" s="179" t="n">
        <f aca="false">+'Hypothèse de base'!I108</f>
        <v>0</v>
      </c>
      <c r="C9" s="179" t="n">
        <f aca="false">B9+(B9*$C$5)</f>
        <v>0</v>
      </c>
      <c r="D9" s="179" t="n">
        <f aca="false">C9+(C9*$D$5)</f>
        <v>0</v>
      </c>
      <c r="E9" s="179" t="n">
        <f aca="false">D9+(D9*$E$5)</f>
        <v>0</v>
      </c>
      <c r="F9" s="179" t="n">
        <f aca="false">E9+(E9*$F$5)</f>
        <v>0</v>
      </c>
      <c r="G9" s="168"/>
    </row>
    <row r="10" customFormat="false" ht="14.25" hidden="false" customHeight="true" outlineLevel="0" collapsed="false">
      <c r="A10" s="178" t="n">
        <f aca="false">+'Hypothèse de base'!A109</f>
        <v>0</v>
      </c>
      <c r="B10" s="179" t="n">
        <f aca="false">+'Hypothèse de base'!I109</f>
        <v>0</v>
      </c>
      <c r="C10" s="179" t="n">
        <f aca="false">B10+(B10*$C$5)</f>
        <v>0</v>
      </c>
      <c r="D10" s="180" t="n">
        <f aca="false">C10+(C10*$D$5)</f>
        <v>0</v>
      </c>
      <c r="E10" s="180" t="n">
        <f aca="false">D10+(D10*$E$5)</f>
        <v>0</v>
      </c>
      <c r="F10" s="180" t="n">
        <f aca="false">E10+(E10*$F$5)</f>
        <v>0</v>
      </c>
      <c r="G10" s="168"/>
    </row>
    <row r="11" customFormat="false" ht="14.25" hidden="false" customHeight="true" outlineLevel="0" collapsed="false">
      <c r="A11" s="178" t="n">
        <f aca="false">+'Hypothèse de base'!A110</f>
        <v>0</v>
      </c>
      <c r="B11" s="179" t="n">
        <f aca="false">SUM('Hypothèse de base'!I110:I113)</f>
        <v>0</v>
      </c>
      <c r="C11" s="179" t="n">
        <f aca="false">B11+(B11*$C$5)</f>
        <v>0</v>
      </c>
      <c r="D11" s="180" t="n">
        <f aca="false">C11+(C11*$D$5)</f>
        <v>0</v>
      </c>
      <c r="E11" s="180" t="n">
        <f aca="false">D11+(D11*$E$5)</f>
        <v>0</v>
      </c>
      <c r="F11" s="180" t="n">
        <f aca="false">E11+(E11*$F$5)</f>
        <v>0</v>
      </c>
      <c r="G11" s="168"/>
    </row>
    <row r="12" customFormat="false" ht="14.25" hidden="false" customHeight="true" outlineLevel="0" collapsed="false">
      <c r="A12" s="181" t="s">
        <v>215</v>
      </c>
      <c r="B12" s="182" t="n">
        <f aca="false">SUM(B7:B11)</f>
        <v>7600000</v>
      </c>
      <c r="C12" s="182" t="n">
        <f aca="false">SUM(C7:C11)</f>
        <v>7752000</v>
      </c>
      <c r="D12" s="182" t="n">
        <f aca="false">SUM(D7:D11)</f>
        <v>7907040</v>
      </c>
      <c r="E12" s="182" t="n">
        <f aca="false">SUM(E7:E11)</f>
        <v>8065180.8</v>
      </c>
      <c r="F12" s="182" t="n">
        <f aca="false">SUM(F7:F11)</f>
        <v>8226484.416</v>
      </c>
      <c r="G12" s="168"/>
    </row>
    <row r="13" customFormat="false" ht="15" hidden="false" customHeight="true" outlineLevel="0" collapsed="false">
      <c r="A13" s="171"/>
      <c r="B13" s="172"/>
      <c r="C13" s="172"/>
      <c r="D13" s="172"/>
      <c r="E13" s="172"/>
      <c r="F13" s="172"/>
      <c r="G13" s="168"/>
    </row>
    <row r="14" customFormat="false" ht="18" hidden="false" customHeight="true" outlineLevel="0" collapsed="false">
      <c r="A14" s="117" t="s">
        <v>216</v>
      </c>
      <c r="B14" s="173"/>
      <c r="C14" s="173"/>
      <c r="D14" s="173"/>
      <c r="E14" s="173"/>
      <c r="F14" s="173"/>
      <c r="G14" s="168"/>
    </row>
    <row r="15" customFormat="false" ht="14.25" hidden="false" customHeight="true" outlineLevel="0" collapsed="false">
      <c r="A15" s="171"/>
      <c r="B15" s="172"/>
      <c r="C15" s="172"/>
      <c r="D15" s="172"/>
      <c r="E15" s="172"/>
      <c r="F15" s="172"/>
      <c r="G15" s="168"/>
    </row>
    <row r="16" customFormat="false" ht="15.75" hidden="false" customHeight="true" outlineLevel="0" collapsed="false">
      <c r="A16" s="183" t="s">
        <v>217</v>
      </c>
      <c r="B16" s="175" t="n">
        <v>0</v>
      </c>
      <c r="C16" s="175" t="n">
        <v>0.06</v>
      </c>
      <c r="D16" s="175" t="n">
        <v>0.08</v>
      </c>
      <c r="E16" s="175" t="n">
        <f aca="false">D16</f>
        <v>0.08</v>
      </c>
      <c r="F16" s="175" t="n">
        <f aca="false">E16</f>
        <v>0.08</v>
      </c>
      <c r="G16" s="168"/>
    </row>
    <row r="17" customFormat="false" ht="15.75" hidden="false" customHeight="true" outlineLevel="0" collapsed="false">
      <c r="A17" s="176" t="s">
        <v>209</v>
      </c>
      <c r="B17" s="177" t="s">
        <v>210</v>
      </c>
      <c r="C17" s="177" t="s">
        <v>211</v>
      </c>
      <c r="D17" s="177" t="s">
        <v>212</v>
      </c>
      <c r="E17" s="177" t="s">
        <v>213</v>
      </c>
      <c r="F17" s="177" t="s">
        <v>214</v>
      </c>
      <c r="G17" s="168"/>
      <c r="J17" s="184"/>
    </row>
    <row r="18" customFormat="false" ht="14.25" hidden="false" customHeight="true" outlineLevel="0" collapsed="false">
      <c r="A18" s="178" t="str">
        <f aca="false">+'Hypothèse de base'!A7</f>
        <v>Semence piment Avenir F1</v>
      </c>
      <c r="B18" s="179" t="n">
        <f aca="false">+'Hypothèse de base'!I7+'Hypothèse de base'!I18</f>
        <v>230000</v>
      </c>
      <c r="C18" s="179" t="n">
        <f aca="false">B18+(B18*$C$16)</f>
        <v>243800</v>
      </c>
      <c r="D18" s="179" t="n">
        <f aca="false">C18+(C18*$D$16)</f>
        <v>263304</v>
      </c>
      <c r="E18" s="179" t="n">
        <f aca="false">D18+(D18*$E$16)</f>
        <v>284368.32</v>
      </c>
      <c r="F18" s="179" t="n">
        <f aca="false">E18+(E18*$F$16)</f>
        <v>307117.7856</v>
      </c>
      <c r="G18" s="168"/>
      <c r="J18" s="185"/>
    </row>
    <row r="19" customFormat="false" ht="14.25" hidden="false" customHeight="true" outlineLevel="0" collapsed="false">
      <c r="A19" s="178" t="str">
        <f aca="false">+'Hypothèse de base'!A8</f>
        <v>Fumure organique / compost</v>
      </c>
      <c r="B19" s="179" t="n">
        <f aca="false">+'Hypothèse de base'!I8+'Hypothèse de base'!I19</f>
        <v>67500</v>
      </c>
      <c r="C19" s="180" t="n">
        <f aca="false">B19+(B19*$C$16)</f>
        <v>71550</v>
      </c>
      <c r="D19" s="180" t="n">
        <f aca="false">C19+(C19*$D$16)</f>
        <v>77274</v>
      </c>
      <c r="E19" s="180" t="n">
        <f aca="false">D19+(D19*$E$16)</f>
        <v>83455.92</v>
      </c>
      <c r="F19" s="180" t="n">
        <f aca="false">E19+(E19*$F$16)</f>
        <v>90132.3936</v>
      </c>
      <c r="G19" s="168"/>
    </row>
    <row r="20" customFormat="false" ht="14.25" hidden="false" customHeight="true" outlineLevel="0" collapsed="false">
      <c r="A20" s="178" t="str">
        <f aca="false">+'Hypothèse de base'!A9</f>
        <v>NPK</v>
      </c>
      <c r="B20" s="179" t="n">
        <f aca="false">+'Hypothèse de base'!I9+'Hypothèse de base'!I20</f>
        <v>90000</v>
      </c>
      <c r="C20" s="180" t="n">
        <f aca="false">B20+(B20*$C$16)</f>
        <v>95400</v>
      </c>
      <c r="D20" s="180" t="n">
        <f aca="false">C20+(C20*$D$16)</f>
        <v>103032</v>
      </c>
      <c r="E20" s="180" t="n">
        <f aca="false">D20+(D20*$E$16)</f>
        <v>111274.56</v>
      </c>
      <c r="F20" s="180" t="n">
        <f aca="false">E20+(E20*$F$16)</f>
        <v>120176.5248</v>
      </c>
      <c r="G20" s="168"/>
    </row>
    <row r="21" customFormat="false" ht="15" hidden="false" customHeight="true" outlineLevel="0" collapsed="false">
      <c r="A21" s="178" t="str">
        <f aca="false">+'Hypothèse de base'!A10</f>
        <v>Urée</v>
      </c>
      <c r="B21" s="179" t="n">
        <f aca="false">+'Hypothèse de base'!I10+'Hypothèse de base'!I21</f>
        <v>40000</v>
      </c>
      <c r="C21" s="180" t="n">
        <f aca="false">B21+(B21*$C$16)</f>
        <v>42400</v>
      </c>
      <c r="D21" s="180" t="n">
        <f aca="false">C21+(C21*$D$16)</f>
        <v>45792</v>
      </c>
      <c r="E21" s="180" t="n">
        <f aca="false">D21+(D21*$E$16)</f>
        <v>49455.36</v>
      </c>
      <c r="F21" s="180" t="n">
        <f aca="false">E21+(E21*$F$16)</f>
        <v>53411.7888</v>
      </c>
      <c r="G21" s="168"/>
    </row>
    <row r="22" customFormat="false" ht="15" hidden="false" customHeight="true" outlineLevel="0" collapsed="false">
      <c r="A22" s="178" t="str">
        <f aca="false">+'Hypothèse de base'!A11</f>
        <v>Produits de traitement</v>
      </c>
      <c r="B22" s="179" t="n">
        <f aca="false">+'Hypothèse de base'!I11+'Hypothèse de base'!I22</f>
        <v>60000</v>
      </c>
      <c r="C22" s="180" t="n">
        <f aca="false">B22+(B22*$C$16)</f>
        <v>63600</v>
      </c>
      <c r="D22" s="180" t="n">
        <f aca="false">C22+(C22*$D$16)</f>
        <v>68688</v>
      </c>
      <c r="E22" s="180" t="n">
        <f aca="false">D22+(D22*$E$16)</f>
        <v>74183.04</v>
      </c>
      <c r="F22" s="180" t="n">
        <f aca="false">E22+(E22*$F$16)</f>
        <v>80117.6832</v>
      </c>
      <c r="G22" s="168"/>
    </row>
    <row r="23" customFormat="false" ht="15" hidden="false" customHeight="true" outlineLevel="0" collapsed="false">
      <c r="A23" s="178" t="str">
        <f aca="false">+'Hypothèse de base'!A12</f>
        <v>Engrais complémentaires</v>
      </c>
      <c r="B23" s="179" t="n">
        <f aca="false">+'Hypothèse de base'!I12</f>
        <v>120000</v>
      </c>
      <c r="C23" s="180" t="n">
        <f aca="false">B23+(B23*$C$16)</f>
        <v>127200</v>
      </c>
      <c r="D23" s="180" t="n">
        <f aca="false">C23+(C23*$D$16)</f>
        <v>137376</v>
      </c>
      <c r="E23" s="180" t="n">
        <f aca="false">D23+(D23*$E$16)</f>
        <v>148366.08</v>
      </c>
      <c r="F23" s="180" t="n">
        <f aca="false">E23+(E23*$F$16)</f>
        <v>160235.3664</v>
      </c>
      <c r="G23" s="168"/>
    </row>
    <row r="24" customFormat="false" ht="16.5" hidden="false" customHeight="true" outlineLevel="0" collapsed="false">
      <c r="A24" s="181" t="s">
        <v>218</v>
      </c>
      <c r="B24" s="182" t="n">
        <f aca="false">SUM(B18:B23)</f>
        <v>607500</v>
      </c>
      <c r="C24" s="182" t="n">
        <f aca="false">SUM(C18:C23)</f>
        <v>643950</v>
      </c>
      <c r="D24" s="182" t="n">
        <f aca="false">SUM(D18:D23)</f>
        <v>695466</v>
      </c>
      <c r="E24" s="182" t="n">
        <f aca="false">SUM(E18:E23)</f>
        <v>751103.28</v>
      </c>
      <c r="F24" s="182" t="n">
        <f aca="false">SUM(F18:F23)</f>
        <v>811191.5424</v>
      </c>
      <c r="G24" s="168"/>
    </row>
    <row r="25" customFormat="false" ht="14.25" hidden="false" customHeight="true" outlineLevel="0" collapsed="false">
      <c r="A25" s="171"/>
      <c r="B25" s="172"/>
      <c r="C25" s="172"/>
      <c r="D25" s="172"/>
      <c r="E25" s="172"/>
      <c r="F25" s="172"/>
      <c r="G25" s="168"/>
    </row>
    <row r="26" customFormat="false" ht="15.75" hidden="false" customHeight="true" outlineLevel="0" collapsed="false">
      <c r="A26" s="183" t="s">
        <v>219</v>
      </c>
      <c r="B26" s="175" t="n">
        <v>0</v>
      </c>
      <c r="C26" s="175" t="n">
        <v>0.05</v>
      </c>
      <c r="D26" s="175" t="n">
        <v>0</v>
      </c>
      <c r="E26" s="175" t="n">
        <v>0</v>
      </c>
      <c r="F26" s="175" t="n">
        <f aca="false">E26</f>
        <v>0</v>
      </c>
      <c r="G26" s="168"/>
    </row>
    <row r="27" customFormat="false" ht="15.75" hidden="false" customHeight="true" outlineLevel="0" collapsed="false">
      <c r="A27" s="186" t="s">
        <v>209</v>
      </c>
      <c r="B27" s="187" t="s">
        <v>210</v>
      </c>
      <c r="C27" s="187" t="s">
        <v>211</v>
      </c>
      <c r="D27" s="187" t="s">
        <v>212</v>
      </c>
      <c r="E27" s="187" t="s">
        <v>213</v>
      </c>
      <c r="F27" s="187" t="s">
        <v>214</v>
      </c>
      <c r="G27" s="168"/>
    </row>
    <row r="28" customFormat="false" ht="14.25" hidden="false" customHeight="true" outlineLevel="0" collapsed="false">
      <c r="A28" s="178" t="s">
        <v>220</v>
      </c>
      <c r="B28" s="180" t="n">
        <f aca="false">+'Hypothèse de base'!H38</f>
        <v>825000</v>
      </c>
      <c r="C28" s="180" t="n">
        <f aca="false">B28+(B28*$C$26)</f>
        <v>866250</v>
      </c>
      <c r="D28" s="180" t="n">
        <f aca="false">C28+(C28*$D$26)</f>
        <v>866250</v>
      </c>
      <c r="E28" s="180" t="n">
        <f aca="false">D28+(D28*$E$26)</f>
        <v>866250</v>
      </c>
      <c r="F28" s="180" t="n">
        <f aca="false">E28+(E28*$F$26)</f>
        <v>866250</v>
      </c>
      <c r="G28" s="168"/>
    </row>
    <row r="29" customFormat="false" ht="14.25" hidden="false" customHeight="true" outlineLevel="0" collapsed="false">
      <c r="A29" s="178"/>
      <c r="B29" s="180"/>
      <c r="C29" s="180" t="n">
        <f aca="false">+B29</f>
        <v>0</v>
      </c>
      <c r="D29" s="180" t="n">
        <f aca="false">+C29*1.05</f>
        <v>0</v>
      </c>
      <c r="E29" s="180" t="n">
        <f aca="false">+D29</f>
        <v>0</v>
      </c>
      <c r="F29" s="180" t="n">
        <f aca="false">+E29*1.05</f>
        <v>0</v>
      </c>
      <c r="G29" s="168"/>
    </row>
    <row r="30" customFormat="false" ht="14.25" hidden="false" customHeight="true" outlineLevel="0" collapsed="false">
      <c r="A30" s="181" t="s">
        <v>221</v>
      </c>
      <c r="B30" s="182" t="n">
        <f aca="false">SUM(B28:B29)</f>
        <v>825000</v>
      </c>
      <c r="C30" s="182" t="n">
        <f aca="false">SUM(C28:C29)</f>
        <v>866250</v>
      </c>
      <c r="D30" s="182" t="n">
        <f aca="false">SUM(D28:D29)</f>
        <v>866250</v>
      </c>
      <c r="E30" s="182" t="n">
        <f aca="false">SUM(E28:E29)</f>
        <v>866250</v>
      </c>
      <c r="F30" s="182" t="n">
        <f aca="false">SUM(F28:F29)</f>
        <v>866250</v>
      </c>
      <c r="G30" s="168"/>
    </row>
    <row r="31" customFormat="false" ht="14.25" hidden="false" customHeight="true" outlineLevel="0" collapsed="false">
      <c r="A31" s="171"/>
      <c r="B31" s="172"/>
      <c r="C31" s="172"/>
      <c r="D31" s="172"/>
      <c r="E31" s="172"/>
      <c r="F31" s="172"/>
      <c r="G31" s="168"/>
    </row>
    <row r="32" customFormat="false" ht="15.75" hidden="false" customHeight="true" outlineLevel="0" collapsed="false">
      <c r="A32" s="183" t="s">
        <v>222</v>
      </c>
      <c r="B32" s="188"/>
      <c r="C32" s="188"/>
      <c r="D32" s="188"/>
      <c r="E32" s="188"/>
      <c r="F32" s="188"/>
      <c r="G32" s="168"/>
    </row>
    <row r="33" customFormat="false" ht="15.75" hidden="false" customHeight="true" outlineLevel="0" collapsed="false">
      <c r="A33" s="186" t="s">
        <v>209</v>
      </c>
      <c r="B33" s="187" t="s">
        <v>210</v>
      </c>
      <c r="C33" s="187" t="s">
        <v>211</v>
      </c>
      <c r="D33" s="187" t="s">
        <v>212</v>
      </c>
      <c r="E33" s="187" t="s">
        <v>213</v>
      </c>
      <c r="F33" s="187" t="s">
        <v>214</v>
      </c>
      <c r="G33" s="168"/>
      <c r="H33" s="189"/>
      <c r="I33" s="189"/>
    </row>
    <row r="34" customFormat="false" ht="14.25" hidden="false" customHeight="true" outlineLevel="0" collapsed="false">
      <c r="A34" s="178" t="s">
        <v>223</v>
      </c>
      <c r="B34" s="190" t="n">
        <f aca="false">0.5%*B30</f>
        <v>4125</v>
      </c>
      <c r="C34" s="190" t="n">
        <f aca="false">0.5%*C30</f>
        <v>4331.25</v>
      </c>
      <c r="D34" s="190" t="n">
        <f aca="false">0.5%*D30</f>
        <v>4331.25</v>
      </c>
      <c r="E34" s="190" t="n">
        <f aca="false">0.5%*E30</f>
        <v>4331.25</v>
      </c>
      <c r="F34" s="190" t="n">
        <f aca="false">0.5%*F30</f>
        <v>4331.25</v>
      </c>
      <c r="G34" s="191"/>
      <c r="H34" s="189"/>
      <c r="I34" s="189"/>
    </row>
    <row r="35" customFormat="false" ht="14.25" hidden="false" customHeight="true" outlineLevel="0" collapsed="false">
      <c r="A35" s="178" t="s">
        <v>224</v>
      </c>
      <c r="B35" s="190" t="n">
        <f aca="false">7.5%*B30</f>
        <v>61875</v>
      </c>
      <c r="C35" s="190" t="n">
        <f aca="false">7.5%*C30</f>
        <v>64968.75</v>
      </c>
      <c r="D35" s="190" t="n">
        <f aca="false">7.5%*D30</f>
        <v>64968.75</v>
      </c>
      <c r="E35" s="190" t="n">
        <f aca="false">7.5%*E30</f>
        <v>64968.75</v>
      </c>
      <c r="F35" s="190" t="n">
        <f aca="false">7.5%*F30</f>
        <v>64968.75</v>
      </c>
      <c r="G35" s="191"/>
      <c r="H35" s="189"/>
      <c r="I35" s="189"/>
    </row>
    <row r="36" customFormat="false" ht="14.25" hidden="false" customHeight="true" outlineLevel="0" collapsed="false">
      <c r="A36" s="178" t="s">
        <v>225</v>
      </c>
      <c r="B36" s="190" t="n">
        <f aca="false">+B30*1%</f>
        <v>8250</v>
      </c>
      <c r="C36" s="190" t="n">
        <f aca="false">+C30*1%</f>
        <v>8662.5</v>
      </c>
      <c r="D36" s="190" t="n">
        <f aca="false">+D30*1%</f>
        <v>8662.5</v>
      </c>
      <c r="E36" s="190" t="n">
        <f aca="false">+E30*1%</f>
        <v>8662.5</v>
      </c>
      <c r="F36" s="190" t="n">
        <f aca="false">+F30*1%</f>
        <v>8662.5</v>
      </c>
      <c r="G36" s="191"/>
      <c r="H36" s="189"/>
      <c r="I36" s="189"/>
    </row>
    <row r="37" customFormat="false" ht="27" hidden="false" customHeight="true" outlineLevel="0" collapsed="false">
      <c r="A37" s="192" t="s">
        <v>226</v>
      </c>
      <c r="B37" s="190"/>
      <c r="C37" s="190" t="n">
        <f aca="false">+B37</f>
        <v>0</v>
      </c>
      <c r="D37" s="190" t="n">
        <f aca="false">+C37</f>
        <v>0</v>
      </c>
      <c r="E37" s="190" t="n">
        <f aca="false">+D37</f>
        <v>0</v>
      </c>
      <c r="F37" s="190" t="n">
        <f aca="false">+E37</f>
        <v>0</v>
      </c>
      <c r="G37" s="191"/>
      <c r="H37" s="189"/>
      <c r="I37" s="189"/>
    </row>
    <row r="38" customFormat="false" ht="14.25" hidden="false" customHeight="true" outlineLevel="0" collapsed="false">
      <c r="A38" s="181" t="s">
        <v>218</v>
      </c>
      <c r="B38" s="193" t="n">
        <f aca="false">SUM(B34:B37)</f>
        <v>74250</v>
      </c>
      <c r="C38" s="193" t="n">
        <f aca="false">SUM(C34:C37)</f>
        <v>77962.5</v>
      </c>
      <c r="D38" s="193" t="n">
        <f aca="false">SUM(D34:D37)</f>
        <v>77962.5</v>
      </c>
      <c r="E38" s="193" t="n">
        <f aca="false">SUM(E34:E37)</f>
        <v>77962.5</v>
      </c>
      <c r="F38" s="193" t="n">
        <f aca="false">SUM(F34:F37)</f>
        <v>77962.5</v>
      </c>
      <c r="G38" s="168"/>
      <c r="H38" s="189"/>
      <c r="I38" s="189"/>
    </row>
    <row r="39" customFormat="false" ht="14.25" hidden="false" customHeight="true" outlineLevel="0" collapsed="false">
      <c r="A39" s="171"/>
      <c r="B39" s="172"/>
      <c r="C39" s="172"/>
      <c r="D39" s="172"/>
      <c r="E39" s="172"/>
      <c r="F39" s="172"/>
      <c r="G39" s="168"/>
    </row>
    <row r="40" customFormat="false" ht="15.75" hidden="false" customHeight="true" outlineLevel="0" collapsed="false">
      <c r="A40" s="183" t="s">
        <v>227</v>
      </c>
      <c r="B40" s="188"/>
      <c r="C40" s="188"/>
      <c r="D40" s="188"/>
      <c r="E40" s="188"/>
      <c r="F40" s="188"/>
      <c r="G40" s="168"/>
    </row>
    <row r="41" customFormat="false" ht="15.75" hidden="false" customHeight="true" outlineLevel="0" collapsed="false">
      <c r="A41" s="186" t="s">
        <v>209</v>
      </c>
      <c r="B41" s="187" t="s">
        <v>210</v>
      </c>
      <c r="C41" s="187" t="s">
        <v>211</v>
      </c>
      <c r="D41" s="187" t="s">
        <v>212</v>
      </c>
      <c r="E41" s="187" t="s">
        <v>213</v>
      </c>
      <c r="F41" s="187" t="s">
        <v>214</v>
      </c>
      <c r="G41" s="168"/>
    </row>
    <row r="42" customFormat="false" ht="14.25" hidden="false" customHeight="true" outlineLevel="0" collapsed="false">
      <c r="A42" s="194" t="str">
        <f aca="false">+'Hypothèse de base'!A91</f>
        <v>Transports / déplacements</v>
      </c>
      <c r="B42" s="180" t="n">
        <f aca="false">+'Hypothèse de base'!F91</f>
        <v>150000</v>
      </c>
      <c r="C42" s="180" t="n">
        <f aca="false">B42+(B42*$C$26)</f>
        <v>157500</v>
      </c>
      <c r="D42" s="180" t="n">
        <f aca="false">C42+(C42*$D$26)</f>
        <v>157500</v>
      </c>
      <c r="E42" s="180" t="n">
        <f aca="false">D42+(D42*$E$26)</f>
        <v>157500</v>
      </c>
      <c r="F42" s="180" t="n">
        <f aca="false">E42+(E42*$F$26)</f>
        <v>157500</v>
      </c>
      <c r="G42" s="168"/>
    </row>
    <row r="43" customFormat="false" ht="14.25" hidden="false" customHeight="true" outlineLevel="0" collapsed="false">
      <c r="A43" s="194" t="str">
        <f aca="false">+'Hypothèse de base'!A92</f>
        <v>Communication / publicité</v>
      </c>
      <c r="B43" s="180" t="n">
        <f aca="false">+'Hypothèse de base'!F92</f>
        <v>75000</v>
      </c>
      <c r="C43" s="180" t="n">
        <f aca="false">B43+(B43*$C$26)</f>
        <v>78750</v>
      </c>
      <c r="D43" s="180" t="n">
        <f aca="false">C43+(C43*$D$26)</f>
        <v>78750</v>
      </c>
      <c r="E43" s="180" t="n">
        <f aca="false">D43+(D43*$E$26)</f>
        <v>78750</v>
      </c>
      <c r="F43" s="180" t="n">
        <f aca="false">E43+(E43*$F$26)</f>
        <v>78750</v>
      </c>
      <c r="G43" s="168"/>
    </row>
    <row r="44" customFormat="false" ht="14.25" hidden="false" customHeight="true" outlineLevel="0" collapsed="false">
      <c r="A44" s="194" t="str">
        <f aca="false">+'Hypothèse de base'!A93</f>
        <v>Maintenance</v>
      </c>
      <c r="B44" s="180" t="n">
        <f aca="false">+'Hypothèse de base'!F93</f>
        <v>75000</v>
      </c>
      <c r="C44" s="180" t="n">
        <f aca="false">B44+(B44*$C$26)</f>
        <v>78750</v>
      </c>
      <c r="D44" s="180" t="n">
        <f aca="false">C44+(C44*$D$26)</f>
        <v>78750</v>
      </c>
      <c r="E44" s="180" t="n">
        <f aca="false">D44+(D44*$E$26)</f>
        <v>78750</v>
      </c>
      <c r="F44" s="180" t="n">
        <f aca="false">E44+(E44*$F$26)</f>
        <v>78750</v>
      </c>
      <c r="G44" s="168"/>
    </row>
    <row r="45" customFormat="false" ht="14.25" hidden="false" customHeight="true" outlineLevel="0" collapsed="false">
      <c r="A45" s="194" t="n">
        <f aca="false">+'Hypothèse de base'!A94</f>
        <v>0</v>
      </c>
      <c r="B45" s="180" t="n">
        <f aca="false">+'Hypothèse de base'!F94</f>
        <v>0</v>
      </c>
      <c r="C45" s="180" t="n">
        <f aca="false">B45+(B45*$C$26)</f>
        <v>0</v>
      </c>
      <c r="D45" s="180" t="n">
        <f aca="false">C45+(C45*$D$26)</f>
        <v>0</v>
      </c>
      <c r="E45" s="180" t="n">
        <f aca="false">D45+(D45*$E$26)</f>
        <v>0</v>
      </c>
      <c r="F45" s="180" t="n">
        <f aca="false">E45+(E45*$F$26)</f>
        <v>0</v>
      </c>
      <c r="G45" s="168"/>
    </row>
    <row r="46" customFormat="false" ht="14.25" hidden="false" customHeight="true" outlineLevel="0" collapsed="false">
      <c r="A46" s="194" t="n">
        <f aca="false">+'Hypothèse de base'!A95</f>
        <v>0</v>
      </c>
      <c r="B46" s="180" t="n">
        <f aca="false">+'Hypothèse de base'!F95</f>
        <v>0</v>
      </c>
      <c r="C46" s="180" t="n">
        <f aca="false">B46+(B46*$C$26)</f>
        <v>0</v>
      </c>
      <c r="D46" s="180" t="n">
        <f aca="false">C46+(C46*$D$26)</f>
        <v>0</v>
      </c>
      <c r="E46" s="180" t="n">
        <f aca="false">D46+(D46*$E$26)</f>
        <v>0</v>
      </c>
      <c r="F46" s="180" t="n">
        <f aca="false">E46+(E46*$F$26)</f>
        <v>0</v>
      </c>
      <c r="G46" s="168"/>
    </row>
    <row r="47" customFormat="false" ht="14.25" hidden="false" customHeight="true" outlineLevel="0" collapsed="false">
      <c r="A47" s="194" t="n">
        <f aca="false">+'Hypothèse de base'!A96</f>
        <v>0</v>
      </c>
      <c r="B47" s="180" t="n">
        <f aca="false">+'Hypothèse de base'!F96</f>
        <v>0</v>
      </c>
      <c r="C47" s="180" t="n">
        <f aca="false">B47+(B47*$C$26)</f>
        <v>0</v>
      </c>
      <c r="D47" s="180" t="n">
        <f aca="false">C47+(C47*$D$26)</f>
        <v>0</v>
      </c>
      <c r="E47" s="180" t="n">
        <f aca="false">D47+(D47*$E$26)</f>
        <v>0</v>
      </c>
      <c r="F47" s="180" t="n">
        <f aca="false">E47+(E47*$F$26)</f>
        <v>0</v>
      </c>
      <c r="G47" s="168"/>
    </row>
    <row r="48" customFormat="false" ht="14.25" hidden="false" customHeight="true" outlineLevel="0" collapsed="false">
      <c r="A48" s="194" t="n">
        <f aca="false">+'Hypothèse de base'!A97</f>
        <v>0</v>
      </c>
      <c r="B48" s="180" t="n">
        <f aca="false">+'Hypothèse de base'!F97</f>
        <v>0</v>
      </c>
      <c r="C48" s="180" t="n">
        <f aca="false">B48+(B48*$C$26)</f>
        <v>0</v>
      </c>
      <c r="D48" s="180" t="n">
        <f aca="false">C48+(C48*$D$26)</f>
        <v>0</v>
      </c>
      <c r="E48" s="180" t="n">
        <f aca="false">D48+(D48*$E$26)</f>
        <v>0</v>
      </c>
      <c r="F48" s="180" t="n">
        <f aca="false">E48+(E48*$F$26)</f>
        <v>0</v>
      </c>
      <c r="G48" s="168"/>
    </row>
    <row r="49" customFormat="false" ht="14.25" hidden="false" customHeight="true" outlineLevel="0" collapsed="false">
      <c r="A49" s="181" t="s">
        <v>218</v>
      </c>
      <c r="B49" s="182" t="n">
        <f aca="false">SUM(B42:B48)</f>
        <v>300000</v>
      </c>
      <c r="C49" s="182" t="n">
        <f aca="false">SUM(C42:C48)</f>
        <v>315000</v>
      </c>
      <c r="D49" s="182" t="n">
        <f aca="false">SUM(D42:D48)</f>
        <v>315000</v>
      </c>
      <c r="E49" s="182" t="n">
        <f aca="false">SUM(E42:E48)</f>
        <v>315000</v>
      </c>
      <c r="F49" s="182" t="n">
        <f aca="false">SUM(F42:F48)</f>
        <v>315000</v>
      </c>
      <c r="G49" s="168"/>
    </row>
    <row r="50" customFormat="false" ht="14.25" hidden="false" customHeight="true" outlineLevel="0" collapsed="false">
      <c r="A50" s="171"/>
      <c r="B50" s="172"/>
      <c r="C50" s="172"/>
      <c r="D50" s="172"/>
      <c r="E50" s="172"/>
      <c r="F50" s="172"/>
      <c r="G50" s="168"/>
    </row>
    <row r="51" customFormat="false" ht="14.25" hidden="false" customHeight="true" outlineLevel="0" collapsed="false">
      <c r="A51" s="171"/>
      <c r="B51" s="172"/>
      <c r="C51" s="172"/>
      <c r="D51" s="172"/>
      <c r="E51" s="172"/>
      <c r="F51" s="172"/>
      <c r="G51" s="168"/>
    </row>
    <row r="52" customFormat="false" ht="15.75" hidden="false" customHeight="true" outlineLevel="0" collapsed="false">
      <c r="A52" s="183" t="s">
        <v>228</v>
      </c>
      <c r="B52" s="188"/>
      <c r="C52" s="188"/>
      <c r="D52" s="188"/>
      <c r="E52" s="188"/>
      <c r="F52" s="188"/>
      <c r="G52" s="168"/>
    </row>
    <row r="53" customFormat="false" ht="15.75" hidden="false" customHeight="true" outlineLevel="0" collapsed="false">
      <c r="A53" s="186" t="s">
        <v>209</v>
      </c>
      <c r="B53" s="187" t="s">
        <v>210</v>
      </c>
      <c r="C53" s="187" t="s">
        <v>211</v>
      </c>
      <c r="D53" s="187" t="s">
        <v>212</v>
      </c>
      <c r="E53" s="187" t="s">
        <v>213</v>
      </c>
      <c r="F53" s="187" t="s">
        <v>214</v>
      </c>
      <c r="G53" s="168"/>
    </row>
    <row r="54" customFormat="false" ht="14.25" hidden="false" customHeight="true" outlineLevel="0" collapsed="false">
      <c r="A54" s="195"/>
      <c r="B54" s="180"/>
      <c r="C54" s="180" t="n">
        <f aca="false">B54+(B54*$C$26)</f>
        <v>0</v>
      </c>
      <c r="D54" s="180" t="n">
        <f aca="false">C54+(C54*$C$26)</f>
        <v>0</v>
      </c>
      <c r="E54" s="180" t="n">
        <f aca="false">D54+(D54*$C$26)</f>
        <v>0</v>
      </c>
      <c r="F54" s="180" t="n">
        <f aca="false">E54+(E54*$C$26)</f>
        <v>0</v>
      </c>
      <c r="G54" s="168"/>
    </row>
    <row r="55" customFormat="false" ht="14.25" hidden="false" customHeight="true" outlineLevel="0" collapsed="false">
      <c r="A55" s="195"/>
      <c r="B55" s="180"/>
      <c r="C55" s="180" t="n">
        <f aca="false">B55+(B55*$C$26)</f>
        <v>0</v>
      </c>
      <c r="D55" s="180" t="n">
        <f aca="false">C55+(C55*$C$26)</f>
        <v>0</v>
      </c>
      <c r="E55" s="180" t="n">
        <f aca="false">D55+(D55*$C$26)</f>
        <v>0</v>
      </c>
      <c r="F55" s="180" t="n">
        <f aca="false">E55+(E55*$C$26)</f>
        <v>0</v>
      </c>
      <c r="G55" s="168"/>
    </row>
    <row r="56" customFormat="false" ht="14.25" hidden="false" customHeight="true" outlineLevel="0" collapsed="false">
      <c r="A56" s="195"/>
      <c r="B56" s="180"/>
      <c r="C56" s="180" t="n">
        <f aca="false">B56+(B56*$C$26)</f>
        <v>0</v>
      </c>
      <c r="D56" s="180" t="n">
        <f aca="false">C56+(C56*$C$26)</f>
        <v>0</v>
      </c>
      <c r="E56" s="180" t="n">
        <f aca="false">D56+(D56*$C$26)</f>
        <v>0</v>
      </c>
      <c r="F56" s="180" t="n">
        <f aca="false">E56+(E56*$C$26)</f>
        <v>0</v>
      </c>
      <c r="G56" s="168"/>
    </row>
    <row r="57" customFormat="false" ht="14.25" hidden="true" customHeight="true" outlineLevel="0" collapsed="false">
      <c r="A57" s="195"/>
      <c r="B57" s="180"/>
      <c r="C57" s="180"/>
      <c r="D57" s="180"/>
      <c r="E57" s="180"/>
      <c r="F57" s="180"/>
      <c r="G57" s="168"/>
    </row>
    <row r="58" customFormat="false" ht="14.25" hidden="true" customHeight="true" outlineLevel="0" collapsed="false">
      <c r="A58" s="195"/>
      <c r="B58" s="180"/>
      <c r="C58" s="180"/>
      <c r="D58" s="180"/>
      <c r="E58" s="180"/>
      <c r="F58" s="180"/>
      <c r="G58" s="168"/>
    </row>
    <row r="59" customFormat="false" ht="14.25" hidden="true" customHeight="true" outlineLevel="0" collapsed="false">
      <c r="A59" s="195"/>
      <c r="B59" s="180"/>
      <c r="C59" s="180"/>
      <c r="D59" s="180"/>
      <c r="E59" s="180"/>
      <c r="F59" s="180"/>
      <c r="G59" s="168"/>
    </row>
    <row r="60" customFormat="false" ht="14.25" hidden="true" customHeight="true" outlineLevel="0" collapsed="false">
      <c r="A60" s="195"/>
      <c r="B60" s="180"/>
      <c r="C60" s="180"/>
      <c r="D60" s="180"/>
      <c r="E60" s="180"/>
      <c r="F60" s="180"/>
      <c r="G60" s="168"/>
    </row>
    <row r="61" customFormat="false" ht="14.25" hidden="true" customHeight="true" outlineLevel="0" collapsed="false">
      <c r="A61" s="195"/>
      <c r="B61" s="180"/>
      <c r="C61" s="180"/>
      <c r="D61" s="180"/>
      <c r="E61" s="180"/>
      <c r="F61" s="180"/>
      <c r="G61" s="168"/>
    </row>
    <row r="62" customFormat="false" ht="14.25" hidden="false" customHeight="true" outlineLevel="0" collapsed="false">
      <c r="A62" s="181" t="s">
        <v>218</v>
      </c>
      <c r="B62" s="182" t="n">
        <f aca="false">SUM(B54:B61)</f>
        <v>0</v>
      </c>
      <c r="C62" s="182" t="n">
        <f aca="false">SUM(C54:C61)</f>
        <v>0</v>
      </c>
      <c r="D62" s="182" t="n">
        <f aca="false">SUM(D54:D61)</f>
        <v>0</v>
      </c>
      <c r="E62" s="182" t="n">
        <f aca="false">SUM(E54:E61)</f>
        <v>0</v>
      </c>
      <c r="F62" s="182" t="n">
        <f aca="false">SUM(F54:F61)</f>
        <v>0</v>
      </c>
      <c r="G62" s="168"/>
    </row>
    <row r="63" customFormat="false" ht="14.25" hidden="false" customHeight="true" outlineLevel="0" collapsed="false">
      <c r="A63" s="171"/>
      <c r="B63" s="172"/>
      <c r="C63" s="172"/>
      <c r="D63" s="172"/>
      <c r="E63" s="172"/>
      <c r="F63" s="172"/>
      <c r="G63" s="168"/>
    </row>
    <row r="64" customFormat="false" ht="15.75" hidden="false" customHeight="true" outlineLevel="0" collapsed="false">
      <c r="A64" s="183" t="s">
        <v>229</v>
      </c>
      <c r="B64" s="188"/>
      <c r="C64" s="188"/>
      <c r="D64" s="188"/>
      <c r="E64" s="188"/>
      <c r="F64" s="188"/>
      <c r="G64" s="168"/>
    </row>
    <row r="65" customFormat="false" ht="15.75" hidden="false" customHeight="true" outlineLevel="0" collapsed="false">
      <c r="A65" s="176" t="s">
        <v>209</v>
      </c>
      <c r="B65" s="177" t="s">
        <v>78</v>
      </c>
      <c r="C65" s="177" t="s">
        <v>230</v>
      </c>
      <c r="D65" s="177" t="s">
        <v>231</v>
      </c>
      <c r="E65" s="177" t="s">
        <v>211</v>
      </c>
      <c r="F65" s="177" t="s">
        <v>212</v>
      </c>
      <c r="G65" s="168"/>
    </row>
    <row r="66" customFormat="false" ht="14.25" hidden="false" customHeight="true" outlineLevel="0" collapsed="false">
      <c r="A66" s="196" t="s">
        <v>232</v>
      </c>
      <c r="B66" s="197" t="n">
        <f aca="false">+'Coût du projet'!C4</f>
        <v>550000</v>
      </c>
      <c r="C66" s="198" t="n">
        <v>1</v>
      </c>
      <c r="D66" s="180" t="n">
        <f aca="false">+B66*C66</f>
        <v>550000</v>
      </c>
      <c r="E66" s="180"/>
      <c r="F66" s="180"/>
      <c r="G66" s="168"/>
    </row>
    <row r="67" customFormat="false" ht="14.25" hidden="false" customHeight="true" outlineLevel="0" collapsed="false">
      <c r="A67" s="199" t="str">
        <f aca="false">+'Coût du projet'!A12</f>
        <v>2.1 Constructions</v>
      </c>
      <c r="B67" s="199"/>
      <c r="C67" s="199"/>
      <c r="D67" s="199"/>
      <c r="E67" s="199"/>
      <c r="F67" s="199"/>
      <c r="G67" s="168"/>
    </row>
    <row r="68" customFormat="false" ht="14.25" hidden="false" customHeight="true" outlineLevel="0" collapsed="false">
      <c r="A68" s="196" t="n">
        <f aca="false">+'Coût du projet'!A13</f>
        <v>0</v>
      </c>
      <c r="B68" s="197" t="n">
        <f aca="false">+'Coût du projet'!B13</f>
        <v>0</v>
      </c>
      <c r="C68" s="200" t="n">
        <v>0.2</v>
      </c>
      <c r="D68" s="180" t="n">
        <f aca="false">+B68*C68</f>
        <v>0</v>
      </c>
      <c r="E68" s="180" t="n">
        <f aca="false">D68</f>
        <v>0</v>
      </c>
      <c r="F68" s="180" t="n">
        <f aca="false">E68</f>
        <v>0</v>
      </c>
      <c r="G68" s="168"/>
    </row>
    <row r="69" customFormat="false" ht="14.25" hidden="false" customHeight="true" outlineLevel="0" collapsed="false">
      <c r="A69" s="196" t="n">
        <f aca="false">+'Coût du projet'!A14</f>
        <v>0</v>
      </c>
      <c r="B69" s="197" t="n">
        <f aca="false">+'Coût du projet'!B14</f>
        <v>0</v>
      </c>
      <c r="C69" s="200" t="n">
        <v>0.05</v>
      </c>
      <c r="D69" s="180" t="n">
        <f aca="false">+B69*C69</f>
        <v>0</v>
      </c>
      <c r="E69" s="180" t="n">
        <f aca="false">D69</f>
        <v>0</v>
      </c>
      <c r="F69" s="180" t="n">
        <f aca="false">E69</f>
        <v>0</v>
      </c>
      <c r="G69" s="168"/>
    </row>
    <row r="70" customFormat="false" ht="14.25" hidden="false" customHeight="true" outlineLevel="0" collapsed="false">
      <c r="A70" s="196" t="n">
        <f aca="false">+'Coût du projet'!A15</f>
        <v>0</v>
      </c>
      <c r="B70" s="197" t="n">
        <f aca="false">+'Coût du projet'!B15</f>
        <v>0</v>
      </c>
      <c r="C70" s="200" t="n">
        <v>0.2</v>
      </c>
      <c r="D70" s="180" t="n">
        <f aca="false">+B70*C70</f>
        <v>0</v>
      </c>
      <c r="E70" s="180" t="n">
        <f aca="false">D70</f>
        <v>0</v>
      </c>
      <c r="F70" s="180" t="n">
        <f aca="false">E70</f>
        <v>0</v>
      </c>
      <c r="G70" s="168"/>
    </row>
    <row r="71" customFormat="false" ht="14.25" hidden="false" customHeight="true" outlineLevel="0" collapsed="false">
      <c r="A71" s="196" t="n">
        <f aca="false">+'Coût du projet'!A18</f>
        <v>0</v>
      </c>
      <c r="B71" s="197" t="n">
        <v>0</v>
      </c>
      <c r="C71" s="200"/>
      <c r="D71" s="180" t="n">
        <f aca="false">+B71*C71</f>
        <v>0</v>
      </c>
      <c r="E71" s="180" t="n">
        <f aca="false">D71</f>
        <v>0</v>
      </c>
      <c r="F71" s="180" t="n">
        <f aca="false">E71</f>
        <v>0</v>
      </c>
      <c r="G71" s="168"/>
    </row>
    <row r="72" customFormat="false" ht="14.25" hidden="false" customHeight="true" outlineLevel="0" collapsed="false">
      <c r="A72" s="199" t="str">
        <f aca="false">+'Coût du projet'!A19</f>
        <v>2.2 Agencement-Aménagement-Installations</v>
      </c>
      <c r="B72" s="201"/>
      <c r="C72" s="202"/>
      <c r="D72" s="203" t="n">
        <f aca="false">+B72*C72</f>
        <v>0</v>
      </c>
      <c r="E72" s="203" t="n">
        <f aca="false">D72</f>
        <v>0</v>
      </c>
      <c r="F72" s="203" t="n">
        <f aca="false">E72</f>
        <v>0</v>
      </c>
      <c r="G72" s="168"/>
    </row>
    <row r="73" customFormat="false" ht="14.25" hidden="false" customHeight="true" outlineLevel="0" collapsed="false">
      <c r="A73" s="196" t="str">
        <f aca="false">+'Coût du projet'!A20</f>
        <v>Préparation et aménagement de la parcelle</v>
      </c>
      <c r="B73" s="196" t="n">
        <f aca="false">+'Coût du projet'!B20</f>
        <v>30000</v>
      </c>
      <c r="C73" s="200" t="n">
        <v>0.25</v>
      </c>
      <c r="D73" s="180" t="n">
        <f aca="false">+B73*C73</f>
        <v>7500</v>
      </c>
      <c r="E73" s="180" t="n">
        <f aca="false">D73</f>
        <v>7500</v>
      </c>
      <c r="F73" s="180" t="n">
        <f aca="false">E73</f>
        <v>7500</v>
      </c>
      <c r="G73" s="168"/>
    </row>
    <row r="74" customFormat="false" ht="14.25" hidden="false" customHeight="true" outlineLevel="0" collapsed="false">
      <c r="A74" s="196" t="str">
        <f aca="false">+'Coût du projet'!A21</f>
        <v>Pompe de surface et accessoires</v>
      </c>
      <c r="B74" s="196" t="n">
        <f aca="false">+'Coût du projet'!B21</f>
        <v>400000</v>
      </c>
      <c r="C74" s="200" t="n">
        <v>0.25</v>
      </c>
      <c r="D74" s="180" t="n">
        <f aca="false">+B74*C74</f>
        <v>100000</v>
      </c>
      <c r="E74" s="180" t="n">
        <f aca="false">D74</f>
        <v>100000</v>
      </c>
      <c r="F74" s="180" t="n">
        <f aca="false">E74</f>
        <v>100000</v>
      </c>
      <c r="G74" s="168"/>
    </row>
    <row r="75" customFormat="false" ht="14.25" hidden="false" customHeight="true" outlineLevel="0" collapsed="false">
      <c r="A75" s="196" t="str">
        <f aca="false">+'Coût du projet'!A22</f>
        <v>Réservoir d’eau</v>
      </c>
      <c r="B75" s="196" t="n">
        <f aca="false">+'Coût du projet'!B22</f>
        <v>300000</v>
      </c>
      <c r="C75" s="200" t="n">
        <v>0.25</v>
      </c>
      <c r="D75" s="180" t="n">
        <f aca="false">+B75*C75</f>
        <v>75000</v>
      </c>
      <c r="E75" s="180" t="n">
        <f aca="false">D75</f>
        <v>75000</v>
      </c>
      <c r="F75" s="180" t="n">
        <f aca="false">E75</f>
        <v>75000</v>
      </c>
      <c r="G75" s="168"/>
    </row>
    <row r="76" customFormat="false" ht="14.25" hidden="false" customHeight="true" outlineLevel="0" collapsed="false">
      <c r="A76" s="196" t="str">
        <f aca="false">+'Coût du projet'!A23</f>
        <v>Plastique pour le paillage (150 m²)</v>
      </c>
      <c r="B76" s="196" t="n">
        <f aca="false">+'Coût du projet'!B23</f>
        <v>300000</v>
      </c>
      <c r="C76" s="200" t="n">
        <v>0.25</v>
      </c>
      <c r="D76" s="180" t="n">
        <f aca="false">+B76*C76</f>
        <v>75000</v>
      </c>
      <c r="E76" s="180" t="n">
        <f aca="false">D76</f>
        <v>75000</v>
      </c>
      <c r="F76" s="180" t="n">
        <f aca="false">E76</f>
        <v>75000</v>
      </c>
      <c r="G76" s="168"/>
    </row>
    <row r="77" customFormat="false" ht="14.25" hidden="false" customHeight="true" outlineLevel="0" collapsed="false">
      <c r="A77" s="196" t="str">
        <f aca="false">+'Coût du projet'!A24</f>
        <v>Système d’irrigation goutte-à-goutte (tuyaux, bouchons, coudes, injecteur, vannes, filtre, gaine)</v>
      </c>
      <c r="B77" s="196" t="n">
        <f aca="false">+'Coût du projet'!B24</f>
        <v>465000</v>
      </c>
      <c r="C77" s="200" t="n">
        <v>0.25</v>
      </c>
      <c r="D77" s="180" t="n">
        <f aca="false">+B77*C77</f>
        <v>116250</v>
      </c>
      <c r="E77" s="180" t="n">
        <f aca="false">D77</f>
        <v>116250</v>
      </c>
      <c r="F77" s="180" t="n">
        <f aca="false">E77</f>
        <v>116250</v>
      </c>
      <c r="G77" s="168"/>
    </row>
    <row r="78" customFormat="false" ht="14.25" hidden="false" customHeight="true" outlineLevel="0" collapsed="false">
      <c r="A78" s="196" t="n">
        <f aca="false">+'Coût du projet'!A25</f>
        <v>0</v>
      </c>
      <c r="B78" s="196" t="n">
        <f aca="false">+'Coût du projet'!B25</f>
        <v>0</v>
      </c>
      <c r="C78" s="200" t="n">
        <v>0.25</v>
      </c>
      <c r="D78" s="180" t="n">
        <f aca="false">+B78*C78</f>
        <v>0</v>
      </c>
      <c r="E78" s="180" t="n">
        <f aca="false">D78</f>
        <v>0</v>
      </c>
      <c r="F78" s="180" t="n">
        <f aca="false">E78</f>
        <v>0</v>
      </c>
      <c r="G78" s="168"/>
    </row>
    <row r="79" customFormat="false" ht="14.25" hidden="false" customHeight="true" outlineLevel="0" collapsed="false">
      <c r="A79" s="196" t="n">
        <f aca="false">+'Coût du projet'!A26</f>
        <v>0</v>
      </c>
      <c r="B79" s="196" t="n">
        <f aca="false">+'Coût du projet'!B26</f>
        <v>0</v>
      </c>
      <c r="C79" s="200" t="n">
        <v>0.25</v>
      </c>
      <c r="D79" s="180" t="n">
        <f aca="false">+B79*C79</f>
        <v>0</v>
      </c>
      <c r="E79" s="180" t="n">
        <f aca="false">D79</f>
        <v>0</v>
      </c>
      <c r="F79" s="180" t="n">
        <f aca="false">E79</f>
        <v>0</v>
      </c>
      <c r="G79" s="168"/>
    </row>
    <row r="80" customFormat="false" ht="14.25" hidden="false" customHeight="true" outlineLevel="0" collapsed="false">
      <c r="A80" s="196" t="n">
        <f aca="false">+'Coût du projet'!A27</f>
        <v>0</v>
      </c>
      <c r="B80" s="196" t="n">
        <f aca="false">+'Coût du projet'!B27</f>
        <v>0</v>
      </c>
      <c r="C80" s="200" t="n">
        <v>0.25</v>
      </c>
      <c r="D80" s="180" t="n">
        <f aca="false">+B80*C80</f>
        <v>0</v>
      </c>
      <c r="E80" s="180" t="n">
        <f aca="false">D80</f>
        <v>0</v>
      </c>
      <c r="F80" s="180" t="n">
        <f aca="false">E80</f>
        <v>0</v>
      </c>
      <c r="G80" s="168"/>
    </row>
    <row r="81" customFormat="false" ht="14.25" hidden="false" customHeight="true" outlineLevel="0" collapsed="false">
      <c r="A81" s="199" t="str">
        <f aca="false">+'Coût du projet'!A28</f>
        <v>2.3	Mobiliers et matériels</v>
      </c>
      <c r="B81" s="201" t="n">
        <f aca="false">+'Coût du projet'!A46:B46</f>
        <v>0</v>
      </c>
      <c r="C81" s="202"/>
      <c r="D81" s="203" t="n">
        <f aca="false">+B81*C81</f>
        <v>0</v>
      </c>
      <c r="E81" s="203" t="n">
        <f aca="false">D81</f>
        <v>0</v>
      </c>
      <c r="F81" s="203" t="n">
        <f aca="false">E81</f>
        <v>0</v>
      </c>
      <c r="G81" s="168"/>
    </row>
    <row r="82" customFormat="false" ht="14.25" hidden="false" customHeight="true" outlineLevel="0" collapsed="false">
      <c r="A82" s="196" t="n">
        <f aca="false">+'Coût du projet'!A29</f>
        <v>0</v>
      </c>
      <c r="B82" s="196" t="n">
        <f aca="false">+'Coût du projet'!B29</f>
        <v>0</v>
      </c>
      <c r="C82" s="200" t="n">
        <v>0.333333333333333</v>
      </c>
      <c r="D82" s="180" t="n">
        <f aca="false">+B82*C82</f>
        <v>0</v>
      </c>
      <c r="E82" s="180" t="n">
        <f aca="false">D82</f>
        <v>0</v>
      </c>
      <c r="F82" s="180" t="n">
        <f aca="false">E82</f>
        <v>0</v>
      </c>
      <c r="G82" s="168"/>
    </row>
    <row r="83" customFormat="false" ht="14.25" hidden="false" customHeight="true" outlineLevel="0" collapsed="false">
      <c r="A83" s="196" t="n">
        <f aca="false">+'Coût du projet'!A30</f>
        <v>0</v>
      </c>
      <c r="B83" s="196" t="n">
        <f aca="false">+'Coût du projet'!B30</f>
        <v>0</v>
      </c>
      <c r="C83" s="200" t="n">
        <v>0.333333333333333</v>
      </c>
      <c r="D83" s="180" t="n">
        <f aca="false">+B83*C83</f>
        <v>0</v>
      </c>
      <c r="E83" s="180" t="n">
        <f aca="false">D83</f>
        <v>0</v>
      </c>
      <c r="F83" s="180" t="n">
        <f aca="false">E83</f>
        <v>0</v>
      </c>
      <c r="G83" s="168"/>
    </row>
    <row r="84" customFormat="false" ht="14.25" hidden="false" customHeight="true" outlineLevel="0" collapsed="false">
      <c r="A84" s="196" t="n">
        <f aca="false">+'Coût du projet'!A31</f>
        <v>0</v>
      </c>
      <c r="B84" s="196" t="n">
        <f aca="false">+'Coût du projet'!B31</f>
        <v>0</v>
      </c>
      <c r="C84" s="200" t="n">
        <v>0.333333333333333</v>
      </c>
      <c r="D84" s="180" t="n">
        <f aca="false">+B84*C84</f>
        <v>0</v>
      </c>
      <c r="E84" s="180" t="n">
        <f aca="false">D84</f>
        <v>0</v>
      </c>
      <c r="F84" s="180" t="n">
        <f aca="false">E84</f>
        <v>0</v>
      </c>
      <c r="G84" s="168"/>
    </row>
    <row r="85" customFormat="false" ht="14.25" hidden="false" customHeight="true" outlineLevel="0" collapsed="false">
      <c r="A85" s="196" t="n">
        <f aca="false">+'Coût du projet'!A32</f>
        <v>0</v>
      </c>
      <c r="B85" s="196" t="n">
        <f aca="false">+'Coût du projet'!B32</f>
        <v>0</v>
      </c>
      <c r="C85" s="200" t="n">
        <v>0.333333333333333</v>
      </c>
      <c r="D85" s="180" t="n">
        <f aca="false">+B85*C85</f>
        <v>0</v>
      </c>
      <c r="E85" s="180" t="n">
        <f aca="false">D85</f>
        <v>0</v>
      </c>
      <c r="F85" s="180" t="n">
        <f aca="false">E85</f>
        <v>0</v>
      </c>
      <c r="G85" s="168"/>
    </row>
    <row r="86" customFormat="false" ht="14.25" hidden="false" customHeight="true" outlineLevel="0" collapsed="false">
      <c r="A86" s="199" t="str">
        <f aca="false">+'Coût du projet'!A34</f>
        <v>2.4 Equipements de production</v>
      </c>
      <c r="B86" s="201"/>
      <c r="C86" s="202"/>
      <c r="D86" s="203" t="n">
        <f aca="false">+B86*C86</f>
        <v>0</v>
      </c>
      <c r="E86" s="203" t="n">
        <f aca="false">D86</f>
        <v>0</v>
      </c>
      <c r="F86" s="203" t="n">
        <f aca="false">E86</f>
        <v>0</v>
      </c>
      <c r="G86" s="168"/>
    </row>
    <row r="87" customFormat="false" ht="14.25" hidden="false" customHeight="true" outlineLevel="0" collapsed="false">
      <c r="A87" s="196" t="str">
        <f aca="false">+'Coût du projet'!A35</f>
        <v>Brouette</v>
      </c>
      <c r="B87" s="196" t="n">
        <f aca="false">+'Coût du projet'!B35</f>
        <v>60000</v>
      </c>
      <c r="C87" s="200" t="n">
        <v>0.2</v>
      </c>
      <c r="D87" s="180" t="n">
        <f aca="false">+B87*C87</f>
        <v>12000</v>
      </c>
      <c r="E87" s="180" t="n">
        <f aca="false">D87</f>
        <v>12000</v>
      </c>
      <c r="F87" s="180" t="n">
        <f aca="false">E87</f>
        <v>12000</v>
      </c>
      <c r="G87" s="168"/>
    </row>
    <row r="88" customFormat="false" ht="14.25" hidden="false" customHeight="true" outlineLevel="0" collapsed="false">
      <c r="A88" s="196" t="str">
        <f aca="false">+'Coût du projet'!A36</f>
        <v>Arrosoirs</v>
      </c>
      <c r="B88" s="196" t="n">
        <f aca="false">+'Coût du projet'!B36</f>
        <v>9000</v>
      </c>
      <c r="C88" s="200" t="n">
        <v>0.2</v>
      </c>
      <c r="D88" s="180" t="n">
        <f aca="false">+B88*C88</f>
        <v>1800</v>
      </c>
      <c r="E88" s="180" t="n">
        <f aca="false">D88</f>
        <v>1800</v>
      </c>
      <c r="F88" s="180" t="n">
        <f aca="false">E88</f>
        <v>1800</v>
      </c>
      <c r="G88" s="168"/>
    </row>
    <row r="89" customFormat="false" ht="14.25" hidden="false" customHeight="true" outlineLevel="0" collapsed="false">
      <c r="A89" s="196" t="str">
        <f aca="false">+'Coût du projet'!A37</f>
        <v>Houes / daba / pelles (1 lot)</v>
      </c>
      <c r="B89" s="196" t="n">
        <f aca="false">+'Coût du projet'!B37</f>
        <v>25000</v>
      </c>
      <c r="C89" s="200" t="n">
        <v>0.2</v>
      </c>
      <c r="D89" s="180" t="n">
        <f aca="false">+B89*C89</f>
        <v>5000</v>
      </c>
      <c r="E89" s="180" t="n">
        <f aca="false">D89</f>
        <v>5000</v>
      </c>
      <c r="F89" s="180" t="n">
        <f aca="false">E89</f>
        <v>5000</v>
      </c>
      <c r="G89" s="168"/>
    </row>
    <row r="90" customFormat="false" ht="14.25" hidden="false" customHeight="true" outlineLevel="0" collapsed="false">
      <c r="A90" s="196" t="str">
        <f aca="false">+'Coût du projet'!A38</f>
        <v>Caisses de récolte</v>
      </c>
      <c r="B90" s="196" t="n">
        <f aca="false">+'Coût du projet'!B38</f>
        <v>30000</v>
      </c>
      <c r="C90" s="200" t="n">
        <v>0.2</v>
      </c>
      <c r="D90" s="180" t="n">
        <f aca="false">+B90*C90</f>
        <v>6000</v>
      </c>
      <c r="E90" s="180" t="n">
        <f aca="false">D90</f>
        <v>6000</v>
      </c>
      <c r="F90" s="180" t="n">
        <f aca="false">E90</f>
        <v>6000</v>
      </c>
      <c r="G90" s="168"/>
    </row>
    <row r="91" customFormat="false" ht="14.25" hidden="false" customHeight="true" outlineLevel="0" collapsed="false">
      <c r="A91" s="196" t="str">
        <f aca="false">+'Coût du projet'!A39</f>
        <v>Balance, pulvérisateur et séchoirs artisanaux</v>
      </c>
      <c r="B91" s="196" t="n">
        <f aca="false">+'Coût du projet'!B39</f>
        <v>90000</v>
      </c>
      <c r="C91" s="200" t="n">
        <v>0.2</v>
      </c>
      <c r="D91" s="180" t="n">
        <f aca="false">+B91*C91</f>
        <v>18000</v>
      </c>
      <c r="E91" s="180" t="n">
        <f aca="false">D91</f>
        <v>18000</v>
      </c>
      <c r="F91" s="180" t="n">
        <f aca="false">E91</f>
        <v>18000</v>
      </c>
      <c r="G91" s="168"/>
    </row>
    <row r="92" customFormat="false" ht="14.25" hidden="false" customHeight="true" outlineLevel="0" collapsed="false">
      <c r="A92" s="181" t="s">
        <v>218</v>
      </c>
      <c r="B92" s="182" t="n">
        <f aca="false">+SUM(B66:B91)</f>
        <v>2259000</v>
      </c>
      <c r="C92" s="182"/>
      <c r="D92" s="182" t="n">
        <f aca="false">+SUM(D66:D91)</f>
        <v>966550</v>
      </c>
      <c r="E92" s="182" t="n">
        <f aca="false">+SUM(E66:E91)</f>
        <v>416550</v>
      </c>
      <c r="F92" s="182" t="n">
        <f aca="false">+SUM(F66:F91)</f>
        <v>416550</v>
      </c>
      <c r="G92" s="168"/>
    </row>
    <row r="93" customFormat="false" ht="14.25" hidden="false" customHeight="true" outlineLevel="0" collapsed="false">
      <c r="A93" s="171"/>
      <c r="B93" s="172"/>
      <c r="C93" s="172"/>
      <c r="D93" s="172"/>
      <c r="E93" s="172"/>
      <c r="F93" s="172"/>
      <c r="G93" s="168"/>
    </row>
    <row r="94" customFormat="false" ht="15.75" hidden="false" customHeight="true" outlineLevel="0" collapsed="false">
      <c r="A94" s="204" t="s">
        <v>233</v>
      </c>
      <c r="B94" s="205"/>
      <c r="C94" s="205"/>
      <c r="D94" s="205"/>
      <c r="E94" s="205"/>
      <c r="F94" s="205"/>
      <c r="G94" s="168"/>
    </row>
    <row r="95" customFormat="false" ht="14.25" hidden="false" customHeight="true" outlineLevel="0" collapsed="false">
      <c r="A95" s="168"/>
      <c r="B95" s="169"/>
      <c r="C95" s="169"/>
      <c r="D95" s="169"/>
      <c r="E95" s="169"/>
      <c r="F95" s="169"/>
      <c r="G95" s="168"/>
    </row>
    <row r="96" customFormat="false" ht="14.25" hidden="false" customHeight="true" outlineLevel="0" collapsed="false">
      <c r="G96" s="167"/>
    </row>
    <row r="97" customFormat="false" ht="14.25" hidden="false" customHeight="true" outlineLevel="0" collapsed="false">
      <c r="G97" s="167"/>
    </row>
    <row r="98" customFormat="false" ht="14.25" hidden="false" customHeight="true" outlineLevel="0" collapsed="false">
      <c r="G98" s="167"/>
    </row>
    <row r="99" customFormat="false" ht="14.25" hidden="false" customHeight="true" outlineLevel="0" collapsed="false">
      <c r="G99" s="167"/>
    </row>
    <row r="100" customFormat="false" ht="14.25" hidden="false" customHeight="true" outlineLevel="0" collapsed="false">
      <c r="G100" s="167"/>
    </row>
    <row r="101" customFormat="false" ht="14.25" hidden="false" customHeight="true" outlineLevel="0" collapsed="false">
      <c r="G101" s="167"/>
    </row>
    <row r="102" customFormat="false" ht="14.25" hidden="false" customHeight="true" outlineLevel="0" collapsed="false">
      <c r="G102" s="167"/>
    </row>
    <row r="103" customFormat="false" ht="14.25" hidden="false" customHeight="true" outlineLevel="0" collapsed="false">
      <c r="G103" s="167"/>
    </row>
    <row r="104" customFormat="false" ht="14.25" hidden="false" customHeight="true" outlineLevel="0" collapsed="false">
      <c r="G104" s="167"/>
    </row>
    <row r="105" customFormat="false" ht="14.25" hidden="false" customHeight="true" outlineLevel="0" collapsed="false">
      <c r="G105" s="167"/>
    </row>
    <row r="106" customFormat="false" ht="14.25" hidden="false" customHeight="true" outlineLevel="0" collapsed="false">
      <c r="G106" s="167"/>
    </row>
    <row r="107" customFormat="false" ht="14.25" hidden="false" customHeight="true" outlineLevel="0" collapsed="false">
      <c r="G107" s="167"/>
    </row>
    <row r="108" customFormat="false" ht="14.25" hidden="false" customHeight="true" outlineLevel="0" collapsed="false">
      <c r="G108" s="167"/>
    </row>
    <row r="109" customFormat="false" ht="14.25" hidden="false" customHeight="true" outlineLevel="0" collapsed="false">
      <c r="G109" s="167"/>
    </row>
    <row r="110" customFormat="false" ht="14.25" hidden="false" customHeight="true" outlineLevel="0" collapsed="false">
      <c r="G110" s="167"/>
    </row>
    <row r="111" customFormat="false" ht="14.25" hidden="false" customHeight="true" outlineLevel="0" collapsed="false">
      <c r="G111" s="167"/>
    </row>
    <row r="112" customFormat="false" ht="14.25" hidden="false" customHeight="true" outlineLevel="0" collapsed="false">
      <c r="G112" s="167"/>
    </row>
    <row r="113" customFormat="false" ht="14.25" hidden="false" customHeight="true" outlineLevel="0" collapsed="false">
      <c r="G113" s="167"/>
    </row>
    <row r="114" customFormat="false" ht="14.25" hidden="false" customHeight="true" outlineLevel="0" collapsed="false">
      <c r="G114" s="167"/>
    </row>
    <row r="115" customFormat="false" ht="14.25" hidden="false" customHeight="true" outlineLevel="0" collapsed="false">
      <c r="G115" s="167"/>
    </row>
    <row r="116" customFormat="false" ht="14.25" hidden="false" customHeight="true" outlineLevel="0" collapsed="false">
      <c r="G116" s="167"/>
    </row>
    <row r="117" customFormat="false" ht="14.25" hidden="false" customHeight="true" outlineLevel="0" collapsed="false">
      <c r="G117" s="167"/>
    </row>
    <row r="118" customFormat="false" ht="14.25" hidden="false" customHeight="true" outlineLevel="0" collapsed="false">
      <c r="G118" s="167"/>
    </row>
    <row r="119" customFormat="false" ht="14.25" hidden="false" customHeight="true" outlineLevel="0" collapsed="false">
      <c r="G119" s="167"/>
    </row>
    <row r="120" customFormat="false" ht="14.25" hidden="false" customHeight="true" outlineLevel="0" collapsed="false">
      <c r="G120" s="167"/>
    </row>
    <row r="121" customFormat="false" ht="14.25" hidden="false" customHeight="true" outlineLevel="0" collapsed="false">
      <c r="G121" s="167"/>
    </row>
    <row r="122" customFormat="false" ht="14.25" hidden="false" customHeight="true" outlineLevel="0" collapsed="false">
      <c r="G122" s="167"/>
    </row>
    <row r="123" customFormat="false" ht="14.25" hidden="false" customHeight="true" outlineLevel="0" collapsed="false">
      <c r="G123" s="167"/>
    </row>
    <row r="124" customFormat="false" ht="14.25" hidden="false" customHeight="true" outlineLevel="0" collapsed="false">
      <c r="G124" s="167"/>
    </row>
    <row r="125" customFormat="false" ht="14.25" hidden="false" customHeight="true" outlineLevel="0" collapsed="false">
      <c r="G125" s="167"/>
    </row>
    <row r="126" customFormat="false" ht="14.25" hidden="false" customHeight="true" outlineLevel="0" collapsed="false">
      <c r="G126" s="167"/>
    </row>
    <row r="127" customFormat="false" ht="14.25" hidden="false" customHeight="true" outlineLevel="0" collapsed="false">
      <c r="G127" s="167"/>
    </row>
    <row r="128" customFormat="false" ht="14.25" hidden="false" customHeight="true" outlineLevel="0" collapsed="false">
      <c r="G128" s="167"/>
    </row>
    <row r="129" customFormat="false" ht="14.25" hidden="false" customHeight="true" outlineLevel="0" collapsed="false">
      <c r="G129" s="167"/>
    </row>
    <row r="130" customFormat="false" ht="14.25" hidden="false" customHeight="true" outlineLevel="0" collapsed="false">
      <c r="G130" s="167"/>
    </row>
    <row r="131" customFormat="false" ht="14.25" hidden="false" customHeight="true" outlineLevel="0" collapsed="false">
      <c r="G131" s="167"/>
    </row>
    <row r="132" customFormat="false" ht="14.25" hidden="false" customHeight="true" outlineLevel="0" collapsed="false">
      <c r="G132" s="167"/>
    </row>
    <row r="133" customFormat="false" ht="14.25" hidden="false" customHeight="true" outlineLevel="0" collapsed="false">
      <c r="G133" s="167"/>
    </row>
    <row r="134" customFormat="false" ht="14.25" hidden="false" customHeight="true" outlineLevel="0" collapsed="false">
      <c r="G134" s="167"/>
    </row>
    <row r="135" customFormat="false" ht="14.25" hidden="false" customHeight="true" outlineLevel="0" collapsed="false">
      <c r="G135" s="167"/>
    </row>
    <row r="136" customFormat="false" ht="14.25" hidden="false" customHeight="true" outlineLevel="0" collapsed="false">
      <c r="G136" s="167"/>
    </row>
    <row r="137" customFormat="false" ht="14.25" hidden="false" customHeight="true" outlineLevel="0" collapsed="false">
      <c r="G137" s="167"/>
    </row>
    <row r="138" customFormat="false" ht="14.25" hidden="false" customHeight="true" outlineLevel="0" collapsed="false">
      <c r="G138" s="167"/>
    </row>
    <row r="139" customFormat="false" ht="14.25" hidden="false" customHeight="true" outlineLevel="0" collapsed="false">
      <c r="G139" s="167"/>
    </row>
    <row r="140" customFormat="false" ht="14.25" hidden="false" customHeight="true" outlineLevel="0" collapsed="false">
      <c r="G140" s="167"/>
    </row>
    <row r="141" customFormat="false" ht="14.25" hidden="false" customHeight="true" outlineLevel="0" collapsed="false">
      <c r="G141" s="167"/>
    </row>
    <row r="142" customFormat="false" ht="14.25" hidden="false" customHeight="true" outlineLevel="0" collapsed="false">
      <c r="G142" s="167"/>
    </row>
    <row r="143" customFormat="false" ht="14.25" hidden="false" customHeight="true" outlineLevel="0" collapsed="false">
      <c r="G143" s="167"/>
    </row>
    <row r="144" customFormat="false" ht="14.25" hidden="false" customHeight="true" outlineLevel="0" collapsed="false">
      <c r="G144" s="167"/>
    </row>
    <row r="145" customFormat="false" ht="14.25" hidden="false" customHeight="true" outlineLevel="0" collapsed="false">
      <c r="G145" s="167"/>
    </row>
    <row r="146" customFormat="false" ht="14.25" hidden="false" customHeight="true" outlineLevel="0" collapsed="false">
      <c r="G146" s="167"/>
    </row>
    <row r="147" customFormat="false" ht="14.25" hidden="false" customHeight="true" outlineLevel="0" collapsed="false">
      <c r="G147" s="167"/>
    </row>
    <row r="148" customFormat="false" ht="14.25" hidden="false" customHeight="true" outlineLevel="0" collapsed="false">
      <c r="G148" s="167"/>
    </row>
    <row r="149" customFormat="false" ht="14.25" hidden="false" customHeight="true" outlineLevel="0" collapsed="false">
      <c r="G149" s="167"/>
    </row>
    <row r="150" customFormat="false" ht="14.25" hidden="false" customHeight="true" outlineLevel="0" collapsed="false">
      <c r="G150" s="167"/>
    </row>
    <row r="151" customFormat="false" ht="14.25" hidden="false" customHeight="true" outlineLevel="0" collapsed="false">
      <c r="G151" s="167"/>
    </row>
    <row r="152" customFormat="false" ht="14.25" hidden="false" customHeight="true" outlineLevel="0" collapsed="false">
      <c r="G152" s="167"/>
    </row>
    <row r="153" customFormat="false" ht="14.25" hidden="false" customHeight="true" outlineLevel="0" collapsed="false">
      <c r="G153" s="167"/>
    </row>
    <row r="154" customFormat="false" ht="14.25" hidden="false" customHeight="true" outlineLevel="0" collapsed="false">
      <c r="G154" s="167"/>
    </row>
    <row r="155" customFormat="false" ht="14.25" hidden="false" customHeight="true" outlineLevel="0" collapsed="false">
      <c r="G155" s="167"/>
    </row>
    <row r="156" customFormat="false" ht="14.25" hidden="false" customHeight="true" outlineLevel="0" collapsed="false">
      <c r="G156" s="167"/>
    </row>
    <row r="157" customFormat="false" ht="14.25" hidden="false" customHeight="true" outlineLevel="0" collapsed="false">
      <c r="G157" s="167"/>
    </row>
    <row r="158" customFormat="false" ht="14.25" hidden="false" customHeight="true" outlineLevel="0" collapsed="false">
      <c r="G158" s="167"/>
    </row>
    <row r="159" customFormat="false" ht="14.25" hidden="false" customHeight="true" outlineLevel="0" collapsed="false">
      <c r="G159" s="167"/>
    </row>
    <row r="160" customFormat="false" ht="14.25" hidden="false" customHeight="true" outlineLevel="0" collapsed="false">
      <c r="G160" s="167"/>
    </row>
    <row r="161" customFormat="false" ht="14.25" hidden="false" customHeight="true" outlineLevel="0" collapsed="false">
      <c r="G161" s="167"/>
    </row>
    <row r="162" customFormat="false" ht="14.25" hidden="false" customHeight="true" outlineLevel="0" collapsed="false">
      <c r="G162" s="167"/>
    </row>
    <row r="163" customFormat="false" ht="14.25" hidden="false" customHeight="true" outlineLevel="0" collapsed="false">
      <c r="G163" s="167"/>
    </row>
    <row r="164" customFormat="false" ht="14.25" hidden="false" customHeight="true" outlineLevel="0" collapsed="false">
      <c r="G164" s="167"/>
    </row>
    <row r="165" customFormat="false" ht="14.25" hidden="false" customHeight="true" outlineLevel="0" collapsed="false">
      <c r="G165" s="167"/>
    </row>
    <row r="166" customFormat="false" ht="14.25" hidden="false" customHeight="true" outlineLevel="0" collapsed="false">
      <c r="G166" s="167"/>
    </row>
    <row r="167" customFormat="false" ht="14.25" hidden="false" customHeight="true" outlineLevel="0" collapsed="false">
      <c r="G167" s="167"/>
    </row>
    <row r="168" customFormat="false" ht="14.25" hidden="false" customHeight="true" outlineLevel="0" collapsed="false">
      <c r="G168" s="167"/>
    </row>
    <row r="169" customFormat="false" ht="14.25" hidden="false" customHeight="true" outlineLevel="0" collapsed="false">
      <c r="G169" s="167"/>
    </row>
    <row r="170" customFormat="false" ht="14.25" hidden="false" customHeight="true" outlineLevel="0" collapsed="false">
      <c r="G170" s="167"/>
    </row>
    <row r="171" customFormat="false" ht="14.25" hidden="false" customHeight="true" outlineLevel="0" collapsed="false">
      <c r="G171" s="167"/>
    </row>
    <row r="172" customFormat="false" ht="14.25" hidden="false" customHeight="true" outlineLevel="0" collapsed="false">
      <c r="G172" s="167"/>
    </row>
    <row r="173" customFormat="false" ht="14.25" hidden="false" customHeight="true" outlineLevel="0" collapsed="false">
      <c r="G173" s="167"/>
    </row>
    <row r="174" customFormat="false" ht="14.25" hidden="false" customHeight="true" outlineLevel="0" collapsed="false">
      <c r="G174" s="167"/>
    </row>
  </sheetData>
  <mergeCells count="2">
    <mergeCell ref="H33:I38"/>
    <mergeCell ref="G34:G3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1" activeCellId="0" sqref="O1"/>
    </sheetView>
  </sheetViews>
  <sheetFormatPr defaultColWidth="11.453125" defaultRowHeight="14.25" zeroHeight="false" outlineLevelRow="0" outlineLevelCol="0"/>
  <cols>
    <col collapsed="false" customWidth="true" hidden="false" outlineLevel="0" max="1" min="1" style="206" width="25.45"/>
    <col collapsed="false" customWidth="true" hidden="false" outlineLevel="0" max="3" min="2" style="206" width="15.54"/>
    <col collapsed="false" customWidth="true" hidden="false" outlineLevel="0" max="4" min="4" style="206" width="13.45"/>
    <col collapsed="false" customWidth="true" hidden="false" outlineLevel="0" max="5" min="5" style="207" width="15.09"/>
    <col collapsed="false" customWidth="true" hidden="false" outlineLevel="0" max="6" min="6" style="207" width="13"/>
    <col collapsed="false" customWidth="true" hidden="false" outlineLevel="0" max="8" min="7" style="207" width="13.45"/>
    <col collapsed="false" customWidth="true" hidden="false" outlineLevel="0" max="9" min="9" style="206" width="6.09"/>
    <col collapsed="false" customWidth="false" hidden="true" outlineLevel="0" max="10" min="10" style="206" width="11.45"/>
    <col collapsed="false" customWidth="true" hidden="true" outlineLevel="0" max="11" min="11" style="206" width="11.54"/>
    <col collapsed="false" customWidth="true" hidden="true" outlineLevel="0" max="12" min="12" style="206" width="15.54"/>
    <col collapsed="false" customWidth="true" hidden="true" outlineLevel="0" max="13" min="13" style="206" width="14.45"/>
    <col collapsed="false" customWidth="true" hidden="true" outlineLevel="0" max="14" min="14" style="206" width="13.45"/>
    <col collapsed="false" customWidth="false" hidden="false" outlineLevel="0" max="16384" min="15" style="206" width="11.45"/>
  </cols>
  <sheetData>
    <row r="1" customFormat="false" ht="15.75" hidden="false" customHeight="true" outlineLevel="0" collapsed="false">
      <c r="A1" s="208" t="s">
        <v>234</v>
      </c>
      <c r="B1" s="208"/>
      <c r="C1" s="209" t="n">
        <f aca="false">+'Plan Financement'!C14</f>
        <v>2753100</v>
      </c>
      <c r="D1" s="210" t="s">
        <v>235</v>
      </c>
      <c r="E1" s="211"/>
      <c r="F1" s="212"/>
      <c r="G1" s="212"/>
      <c r="H1" s="213"/>
      <c r="I1" s="168"/>
      <c r="L1" s="214"/>
      <c r="M1" s="215"/>
      <c r="N1" s="215"/>
    </row>
    <row r="2" customFormat="false" ht="15.75" hidden="false" customHeight="true" outlineLevel="0" collapsed="false">
      <c r="A2" s="208" t="s">
        <v>236</v>
      </c>
      <c r="B2" s="208"/>
      <c r="C2" s="216" t="n">
        <f aca="false">+'Plan Financement'!B20</f>
        <v>0.08</v>
      </c>
      <c r="D2" s="217" t="s">
        <v>237</v>
      </c>
      <c r="E2" s="218" t="n">
        <f aca="false">C2/12</f>
        <v>0.00666666666666667</v>
      </c>
      <c r="F2" s="219" t="s">
        <v>238</v>
      </c>
      <c r="G2" s="219"/>
      <c r="H2" s="220"/>
      <c r="I2" s="168"/>
      <c r="L2" s="217"/>
      <c r="M2" s="215"/>
      <c r="N2" s="215"/>
    </row>
    <row r="3" customFormat="false" ht="15.75" hidden="false" customHeight="true" outlineLevel="0" collapsed="false">
      <c r="A3" s="208" t="s">
        <v>239</v>
      </c>
      <c r="B3" s="208"/>
      <c r="C3" s="216" t="n">
        <f aca="false">+'Plan Financement'!B23</f>
        <v>0.17</v>
      </c>
      <c r="D3" s="221" t="s">
        <v>240</v>
      </c>
      <c r="E3" s="211"/>
      <c r="F3" s="212"/>
      <c r="G3" s="212"/>
      <c r="H3" s="213"/>
      <c r="I3" s="168"/>
      <c r="L3" s="214"/>
      <c r="M3" s="215"/>
      <c r="N3" s="215"/>
    </row>
    <row r="4" customFormat="false" ht="15.75" hidden="false" customHeight="true" outlineLevel="0" collapsed="false">
      <c r="A4" s="208" t="s">
        <v>241</v>
      </c>
      <c r="B4" s="208"/>
      <c r="C4" s="216" t="n">
        <f aca="false">C2*(1+C3)</f>
        <v>0.0936</v>
      </c>
      <c r="D4" s="221" t="s">
        <v>240</v>
      </c>
      <c r="E4" s="211"/>
      <c r="F4" s="219"/>
      <c r="G4" s="219"/>
      <c r="H4" s="220"/>
      <c r="I4" s="168"/>
      <c r="L4" s="217"/>
      <c r="M4" s="215"/>
      <c r="N4" s="215"/>
    </row>
    <row r="5" customFormat="false" ht="15.75" hidden="false" customHeight="true" outlineLevel="0" collapsed="false">
      <c r="A5" s="208" t="s">
        <v>242</v>
      </c>
      <c r="B5" s="208"/>
      <c r="C5" s="222" t="s">
        <v>238</v>
      </c>
      <c r="D5" s="221"/>
      <c r="E5" s="211"/>
      <c r="F5" s="212"/>
      <c r="G5" s="212"/>
      <c r="H5" s="213"/>
      <c r="I5" s="168"/>
      <c r="L5" s="214"/>
      <c r="M5" s="215"/>
      <c r="N5" s="215"/>
    </row>
    <row r="6" customFormat="false" ht="15.75" hidden="false" customHeight="true" outlineLevel="0" collapsed="false">
      <c r="A6" s="208" t="s">
        <v>243</v>
      </c>
      <c r="B6" s="208"/>
      <c r="C6" s="223" t="n">
        <f aca="false">+'Plan Financement'!B21</f>
        <v>6</v>
      </c>
      <c r="D6" s="224" t="s">
        <v>203</v>
      </c>
      <c r="E6" s="211"/>
      <c r="F6" s="212"/>
      <c r="G6" s="212"/>
      <c r="H6" s="213"/>
      <c r="I6" s="168"/>
      <c r="L6" s="214"/>
      <c r="M6" s="215"/>
      <c r="N6" s="215"/>
    </row>
    <row r="7" customFormat="false" ht="15.75" hidden="false" customHeight="true" outlineLevel="0" collapsed="false">
      <c r="A7" s="208" t="s">
        <v>244</v>
      </c>
      <c r="B7" s="208"/>
      <c r="C7" s="223" t="n">
        <f aca="false">+'Plan Financement'!B19</f>
        <v>60</v>
      </c>
      <c r="D7" s="224" t="s">
        <v>203</v>
      </c>
      <c r="E7" s="211"/>
      <c r="F7" s="212"/>
      <c r="G7" s="212"/>
      <c r="H7" s="213"/>
      <c r="I7" s="168"/>
      <c r="L7" s="214"/>
      <c r="M7" s="215"/>
      <c r="N7" s="215"/>
    </row>
    <row r="8" customFormat="false" ht="15.75" hidden="false" customHeight="true" outlineLevel="0" collapsed="false">
      <c r="A8" s="208" t="s">
        <v>245</v>
      </c>
      <c r="B8" s="208"/>
      <c r="C8" s="223" t="n">
        <f aca="false">+C7-C6</f>
        <v>54</v>
      </c>
      <c r="D8" s="217"/>
      <c r="E8" s="212"/>
      <c r="F8" s="212"/>
      <c r="G8" s="212"/>
      <c r="H8" s="213"/>
      <c r="I8" s="168"/>
      <c r="L8" s="214"/>
      <c r="M8" s="215"/>
      <c r="N8" s="215"/>
    </row>
    <row r="9" customFormat="false" ht="15" hidden="false" customHeight="true" outlineLevel="0" collapsed="false">
      <c r="A9" s="225"/>
      <c r="B9" s="226"/>
      <c r="C9" s="226"/>
      <c r="D9" s="227"/>
      <c r="E9" s="227"/>
      <c r="F9" s="227"/>
      <c r="G9" s="227"/>
      <c r="H9" s="227"/>
      <c r="I9" s="168"/>
      <c r="L9" s="226"/>
      <c r="M9" s="227"/>
      <c r="N9" s="227"/>
    </row>
    <row r="10" customFormat="false" ht="15.75" hidden="false" customHeight="true" outlineLevel="0" collapsed="false">
      <c r="A10" s="228" t="s">
        <v>246</v>
      </c>
      <c r="B10" s="228" t="s">
        <v>78</v>
      </c>
      <c r="C10" s="228" t="s">
        <v>247</v>
      </c>
      <c r="D10" s="228" t="s">
        <v>205</v>
      </c>
      <c r="E10" s="228" t="s">
        <v>248</v>
      </c>
      <c r="F10" s="228" t="s">
        <v>249</v>
      </c>
      <c r="G10" s="228"/>
      <c r="H10" s="228"/>
      <c r="I10" s="168"/>
      <c r="L10" s="229"/>
      <c r="M10" s="228" t="s">
        <v>247</v>
      </c>
      <c r="N10" s="228" t="s">
        <v>205</v>
      </c>
    </row>
    <row r="11" customFormat="false" ht="31.5" hidden="false" customHeight="true" outlineLevel="0" collapsed="false">
      <c r="A11" s="228"/>
      <c r="B11" s="228"/>
      <c r="C11" s="228"/>
      <c r="D11" s="228"/>
      <c r="E11" s="228"/>
      <c r="F11" s="228" t="s">
        <v>250</v>
      </c>
      <c r="G11" s="228" t="s">
        <v>251</v>
      </c>
      <c r="H11" s="228" t="s">
        <v>252</v>
      </c>
      <c r="I11" s="168"/>
      <c r="L11" s="228" t="s">
        <v>251</v>
      </c>
      <c r="M11" s="228"/>
      <c r="N11" s="228"/>
    </row>
    <row r="12" customFormat="false" ht="15.75" hidden="false" customHeight="true" outlineLevel="0" collapsed="false">
      <c r="A12" s="230" t="n">
        <v>1</v>
      </c>
      <c r="B12" s="231" t="n">
        <f aca="false">C1</f>
        <v>2753100</v>
      </c>
      <c r="C12" s="232" t="n">
        <f aca="false">+IF(M12&gt;=0,M12,0)</f>
        <v>18354</v>
      </c>
      <c r="D12" s="232" t="n">
        <f aca="false">+IF(N12&gt;=0,N12,0)</f>
        <v>3120.18</v>
      </c>
      <c r="E12" s="232" t="n">
        <f aca="false">+C12+D12</f>
        <v>21474.18</v>
      </c>
      <c r="F12" s="232" t="n">
        <f aca="false">+IF(C12&gt;1,J12,0)</f>
        <v>0</v>
      </c>
      <c r="G12" s="232" t="n">
        <f aca="false">+IF(E12&gt;1,L12,0)</f>
        <v>21474.18</v>
      </c>
      <c r="H12" s="232" t="n">
        <f aca="false">IF(F12&lt;=0,0,$L$74)</f>
        <v>0</v>
      </c>
      <c r="I12" s="168"/>
      <c r="J12" s="206" t="n">
        <f aca="false">+G12-E12</f>
        <v>0</v>
      </c>
      <c r="L12" s="233" t="n">
        <f aca="false">IF($C$6&lt;&gt;0,E12,($C$1/$C$8)+E12)</f>
        <v>21474.18</v>
      </c>
      <c r="M12" s="233" t="n">
        <f aca="false">B12*E$2</f>
        <v>18354</v>
      </c>
      <c r="N12" s="234" t="n">
        <f aca="false">M12*C$3</f>
        <v>3120.18</v>
      </c>
    </row>
    <row r="13" customFormat="false" ht="15.75" hidden="false" customHeight="true" outlineLevel="0" collapsed="false">
      <c r="A13" s="231" t="n">
        <f aca="false">A12+1</f>
        <v>2</v>
      </c>
      <c r="B13" s="231" t="n">
        <f aca="false">B12-F12</f>
        <v>2753100</v>
      </c>
      <c r="C13" s="232" t="n">
        <f aca="false">+IF(M13&gt;=0,M13,0)</f>
        <v>18354</v>
      </c>
      <c r="D13" s="232" t="n">
        <f aca="false">+IF(N13&gt;=0,N13,0)</f>
        <v>3120.18</v>
      </c>
      <c r="E13" s="232" t="n">
        <f aca="false">+C13+D13</f>
        <v>21474.18</v>
      </c>
      <c r="F13" s="232" t="n">
        <f aca="false">+IF(C13&gt;1,J13,0)</f>
        <v>0</v>
      </c>
      <c r="G13" s="232" t="n">
        <f aca="false">+IF(E13&gt;1,L13,0)</f>
        <v>21474.18</v>
      </c>
      <c r="H13" s="232" t="n">
        <f aca="false">IF(F13&lt;=0,0,$L$74)</f>
        <v>0</v>
      </c>
      <c r="I13" s="168"/>
      <c r="J13" s="206" t="n">
        <f aca="false">+G13-E13</f>
        <v>0</v>
      </c>
      <c r="L13" s="233" t="n">
        <f aca="false">IF($C$6&gt;=2,E13,($C$1/$C$8)+E13)</f>
        <v>21474.18</v>
      </c>
      <c r="M13" s="233" t="n">
        <f aca="false">B13*E$2</f>
        <v>18354</v>
      </c>
      <c r="N13" s="234" t="n">
        <f aca="false">M13*C$3</f>
        <v>3120.18</v>
      </c>
    </row>
    <row r="14" customFormat="false" ht="15.75" hidden="false" customHeight="true" outlineLevel="0" collapsed="false">
      <c r="A14" s="231" t="n">
        <f aca="false">A13+1</f>
        <v>3</v>
      </c>
      <c r="B14" s="231" t="n">
        <f aca="false">B13-F13</f>
        <v>2753100</v>
      </c>
      <c r="C14" s="232" t="n">
        <f aca="false">+IF(M14&gt;=0,M14,0)</f>
        <v>18354</v>
      </c>
      <c r="D14" s="232" t="n">
        <f aca="false">+IF(N14&gt;=0,N14,0)</f>
        <v>3120.18</v>
      </c>
      <c r="E14" s="232" t="n">
        <f aca="false">+C14+D14</f>
        <v>21474.18</v>
      </c>
      <c r="F14" s="232" t="n">
        <f aca="false">+IF(C14&gt;1,J14,0)</f>
        <v>0</v>
      </c>
      <c r="G14" s="232" t="n">
        <f aca="false">+IF(E14&gt;1,L14,0)</f>
        <v>21474.18</v>
      </c>
      <c r="H14" s="232" t="n">
        <f aca="false">IF(F14&lt;=0,0,$L$74)</f>
        <v>0</v>
      </c>
      <c r="I14" s="168"/>
      <c r="J14" s="206" t="n">
        <f aca="false">+G14-E14</f>
        <v>0</v>
      </c>
      <c r="L14" s="233" t="n">
        <f aca="false">IF($C$6&gt;=3,E14,($C$1/$C$8)+E14)</f>
        <v>21474.18</v>
      </c>
      <c r="M14" s="233" t="n">
        <f aca="false">B14*E$2</f>
        <v>18354</v>
      </c>
      <c r="N14" s="234" t="n">
        <f aca="false">M14*C$3</f>
        <v>3120.18</v>
      </c>
    </row>
    <row r="15" customFormat="false" ht="15.75" hidden="false" customHeight="true" outlineLevel="0" collapsed="false">
      <c r="A15" s="231" t="n">
        <f aca="false">A14+1</f>
        <v>4</v>
      </c>
      <c r="B15" s="231" t="n">
        <f aca="false">B14-F14</f>
        <v>2753100</v>
      </c>
      <c r="C15" s="232" t="n">
        <f aca="false">+IF(M15&gt;=0,M15,0)</f>
        <v>18354</v>
      </c>
      <c r="D15" s="232" t="n">
        <f aca="false">+IF(N15&gt;=0,N15,0)</f>
        <v>3120.18</v>
      </c>
      <c r="E15" s="232" t="n">
        <f aca="false">+C15+D15</f>
        <v>21474.18</v>
      </c>
      <c r="F15" s="232" t="n">
        <f aca="false">+IF(C15&gt;1,J15,0)</f>
        <v>0</v>
      </c>
      <c r="G15" s="232" t="n">
        <f aca="false">+IF(E15&gt;1,L15,0)</f>
        <v>21474.18</v>
      </c>
      <c r="H15" s="232" t="n">
        <f aca="false">IF(F15&lt;=0,0,$L$74)</f>
        <v>0</v>
      </c>
      <c r="I15" s="168"/>
      <c r="J15" s="206" t="n">
        <f aca="false">+G15-E15</f>
        <v>0</v>
      </c>
      <c r="L15" s="233" t="n">
        <f aca="false">IF($C$6&gt;=4,E15,($C$1/$C$8)+E15)</f>
        <v>21474.18</v>
      </c>
      <c r="M15" s="233" t="n">
        <f aca="false">B15*E$2</f>
        <v>18354</v>
      </c>
      <c r="N15" s="234" t="n">
        <f aca="false">M15*C$3</f>
        <v>3120.18</v>
      </c>
    </row>
    <row r="16" customFormat="false" ht="15.75" hidden="false" customHeight="true" outlineLevel="0" collapsed="false">
      <c r="A16" s="231" t="n">
        <f aca="false">A15+1</f>
        <v>5</v>
      </c>
      <c r="B16" s="231" t="n">
        <f aca="false">B15-F15</f>
        <v>2753100</v>
      </c>
      <c r="C16" s="232" t="n">
        <f aca="false">+IF(M16&gt;=0,M16,0)</f>
        <v>18354</v>
      </c>
      <c r="D16" s="232" t="n">
        <f aca="false">+IF(N16&gt;=0,N16,0)</f>
        <v>3120.18</v>
      </c>
      <c r="E16" s="232" t="n">
        <f aca="false">+C16+D16</f>
        <v>21474.18</v>
      </c>
      <c r="F16" s="232" t="n">
        <f aca="false">+IF(C16&gt;1,J16,0)</f>
        <v>0</v>
      </c>
      <c r="G16" s="232" t="n">
        <f aca="false">+IF(E16&gt;1,L16,0)</f>
        <v>21474.18</v>
      </c>
      <c r="H16" s="232" t="n">
        <f aca="false">IF(F16&lt;=0,0,$L$74)</f>
        <v>0</v>
      </c>
      <c r="I16" s="168"/>
      <c r="J16" s="206" t="n">
        <f aca="false">+G16-E16</f>
        <v>0</v>
      </c>
      <c r="L16" s="233" t="n">
        <f aca="false">IF($C$6&gt;=5,E16,($C$1/$C$8)+E16)</f>
        <v>21474.18</v>
      </c>
      <c r="M16" s="233" t="n">
        <f aca="false">B16*E$2</f>
        <v>18354</v>
      </c>
      <c r="N16" s="234" t="n">
        <f aca="false">M16*C$3</f>
        <v>3120.18</v>
      </c>
    </row>
    <row r="17" customFormat="false" ht="15.75" hidden="false" customHeight="true" outlineLevel="0" collapsed="false">
      <c r="A17" s="231" t="n">
        <f aca="false">A16+1</f>
        <v>6</v>
      </c>
      <c r="B17" s="231" t="n">
        <f aca="false">B16-F16</f>
        <v>2753100</v>
      </c>
      <c r="C17" s="232" t="n">
        <f aca="false">+IF(M17&gt;=0,M17,0)</f>
        <v>18354</v>
      </c>
      <c r="D17" s="232" t="n">
        <f aca="false">+IF(N17&gt;=0,N17,0)</f>
        <v>3120.18</v>
      </c>
      <c r="E17" s="232" t="n">
        <f aca="false">+C17+D17</f>
        <v>21474.18</v>
      </c>
      <c r="F17" s="232" t="n">
        <f aca="false">+IF(C17&gt;1,J17,0)</f>
        <v>0</v>
      </c>
      <c r="G17" s="232" t="n">
        <f aca="false">+IF(E17&gt;1,L17,0)</f>
        <v>21474.18</v>
      </c>
      <c r="H17" s="232" t="n">
        <f aca="false">IF(F17&lt;=0,0,$L$74)</f>
        <v>0</v>
      </c>
      <c r="I17" s="168"/>
      <c r="J17" s="206" t="n">
        <f aca="false">+G17-E17</f>
        <v>0</v>
      </c>
      <c r="L17" s="233" t="n">
        <f aca="false">IF($C$6&gt;=6,E17,($C$1/$C$8)+E17)</f>
        <v>21474.18</v>
      </c>
      <c r="M17" s="233" t="n">
        <f aca="false">B17*E$2</f>
        <v>18354</v>
      </c>
      <c r="N17" s="234" t="n">
        <f aca="false">M17*C$3</f>
        <v>3120.18</v>
      </c>
    </row>
    <row r="18" customFormat="false" ht="15.75" hidden="false" customHeight="true" outlineLevel="0" collapsed="false">
      <c r="A18" s="231" t="n">
        <f aca="false">A17+1</f>
        <v>7</v>
      </c>
      <c r="B18" s="231" t="n">
        <f aca="false">B17-F17</f>
        <v>2753100</v>
      </c>
      <c r="C18" s="232" t="n">
        <f aca="false">+IF(M18&gt;=0,M18,0)</f>
        <v>18354</v>
      </c>
      <c r="D18" s="232" t="n">
        <f aca="false">+IF(N18&gt;=0,N18,0)</f>
        <v>3120.18</v>
      </c>
      <c r="E18" s="232" t="n">
        <f aca="false">+C18+D18</f>
        <v>21474.18</v>
      </c>
      <c r="F18" s="232" t="n">
        <f aca="false">+IF(C18&gt;1,J18,0)</f>
        <v>50983.3333333333</v>
      </c>
      <c r="G18" s="232" t="n">
        <f aca="false">+IF(E18&gt;1,L18,0)</f>
        <v>72457.5133333333</v>
      </c>
      <c r="H18" s="232" t="n">
        <f aca="false">IF(F18&lt;=0,0,$L$74)</f>
        <v>64305.2783333333</v>
      </c>
      <c r="I18" s="168"/>
      <c r="J18" s="206" t="n">
        <f aca="false">+G18-E18</f>
        <v>50983.3333333333</v>
      </c>
      <c r="L18" s="233" t="n">
        <f aca="false">IF($C$6&gt;=7,E18,($C$1/$C$8)+E18)</f>
        <v>72457.5133333333</v>
      </c>
      <c r="M18" s="233" t="n">
        <f aca="false">B18*E$2</f>
        <v>18354</v>
      </c>
      <c r="N18" s="234" t="n">
        <f aca="false">M18*C$3</f>
        <v>3120.18</v>
      </c>
    </row>
    <row r="19" customFormat="false" ht="15.75" hidden="false" customHeight="true" outlineLevel="0" collapsed="false">
      <c r="A19" s="231" t="n">
        <f aca="false">A18+1</f>
        <v>8</v>
      </c>
      <c r="B19" s="231" t="n">
        <f aca="false">B18-F18</f>
        <v>2702116.66666667</v>
      </c>
      <c r="C19" s="232" t="n">
        <f aca="false">+IF(M19&gt;=0,M19,0)</f>
        <v>18014.1111111111</v>
      </c>
      <c r="D19" s="232" t="n">
        <f aca="false">+IF(N19&gt;=0,N19,0)</f>
        <v>3062.39888888889</v>
      </c>
      <c r="E19" s="232" t="n">
        <f aca="false">+C19+D19</f>
        <v>21076.51</v>
      </c>
      <c r="F19" s="232" t="n">
        <f aca="false">+IF(C19&gt;1,J19,0)</f>
        <v>50983.3333333333</v>
      </c>
      <c r="G19" s="232" t="n">
        <f aca="false">+IF(E19&gt;1,L19,0)</f>
        <v>72059.8433333333</v>
      </c>
      <c r="H19" s="232" t="n">
        <f aca="false">IF(F19&lt;=0,0,$L$74)</f>
        <v>64305.2783333333</v>
      </c>
      <c r="I19" s="168"/>
      <c r="J19" s="206" t="n">
        <f aca="false">+G19-E19</f>
        <v>50983.3333333333</v>
      </c>
      <c r="L19" s="233" t="n">
        <f aca="false">IF($C$6&gt;=8,E19,($C$1/$C$8)+E19)</f>
        <v>72059.8433333333</v>
      </c>
      <c r="M19" s="233" t="n">
        <f aca="false">B19*E$2</f>
        <v>18014.1111111111</v>
      </c>
      <c r="N19" s="234" t="n">
        <f aca="false">M19*C$3</f>
        <v>3062.39888888889</v>
      </c>
    </row>
    <row r="20" customFormat="false" ht="15.75" hidden="false" customHeight="true" outlineLevel="0" collapsed="false">
      <c r="A20" s="231" t="n">
        <f aca="false">A19+1</f>
        <v>9</v>
      </c>
      <c r="B20" s="231" t="n">
        <f aca="false">B19-F19</f>
        <v>2651133.33333333</v>
      </c>
      <c r="C20" s="232" t="n">
        <f aca="false">+IF(M20&gt;=0,M20,0)</f>
        <v>17674.2222222222</v>
      </c>
      <c r="D20" s="232" t="n">
        <f aca="false">+IF(N20&gt;=0,N20,0)</f>
        <v>3004.61777777778</v>
      </c>
      <c r="E20" s="232" t="n">
        <f aca="false">+C20+D20</f>
        <v>20678.84</v>
      </c>
      <c r="F20" s="232" t="n">
        <f aca="false">+IF(C20&gt;1,J20,0)</f>
        <v>50983.3333333333</v>
      </c>
      <c r="G20" s="232" t="n">
        <f aca="false">+IF(E20&gt;1,L20,0)</f>
        <v>71662.1733333333</v>
      </c>
      <c r="H20" s="232" t="n">
        <f aca="false">IF(F20&lt;=0,0,$L$74)</f>
        <v>64305.2783333333</v>
      </c>
      <c r="I20" s="168"/>
      <c r="J20" s="206" t="n">
        <f aca="false">+G20-E20</f>
        <v>50983.3333333333</v>
      </c>
      <c r="L20" s="233" t="n">
        <f aca="false">IF($C$6&gt;=9,E20,($C$1/$C$8)+E20)</f>
        <v>71662.1733333333</v>
      </c>
      <c r="M20" s="233" t="n">
        <f aca="false">B20*E$2</f>
        <v>17674.2222222222</v>
      </c>
      <c r="N20" s="234" t="n">
        <f aca="false">M20*C$3</f>
        <v>3004.61777777778</v>
      </c>
    </row>
    <row r="21" customFormat="false" ht="15.75" hidden="false" customHeight="true" outlineLevel="0" collapsed="false">
      <c r="A21" s="231" t="n">
        <f aca="false">A20+1</f>
        <v>10</v>
      </c>
      <c r="B21" s="231" t="n">
        <f aca="false">B20-F20</f>
        <v>2600150</v>
      </c>
      <c r="C21" s="232" t="n">
        <f aca="false">+IF(M21&gt;=0,M21,0)</f>
        <v>17334.3333333333</v>
      </c>
      <c r="D21" s="232" t="n">
        <f aca="false">+IF(N21&gt;=0,N21,0)</f>
        <v>2946.83666666667</v>
      </c>
      <c r="E21" s="232" t="n">
        <f aca="false">+C21+D21</f>
        <v>20281.17</v>
      </c>
      <c r="F21" s="232" t="n">
        <f aca="false">+IF(C21&gt;1,J21,0)</f>
        <v>50983.3333333333</v>
      </c>
      <c r="G21" s="232" t="n">
        <f aca="false">+IF(E21&gt;1,L21,0)</f>
        <v>71264.5033333333</v>
      </c>
      <c r="H21" s="232" t="n">
        <f aca="false">IF(F21&lt;=0,0,$L$74)</f>
        <v>64305.2783333333</v>
      </c>
      <c r="I21" s="168"/>
      <c r="J21" s="206" t="n">
        <f aca="false">+G21-E21</f>
        <v>50983.3333333333</v>
      </c>
      <c r="L21" s="233" t="n">
        <f aca="false">IF($C$6&gt;=10,E21,($C$1/$C$8)+E21)</f>
        <v>71264.5033333333</v>
      </c>
      <c r="M21" s="233" t="n">
        <f aca="false">B21*E$2</f>
        <v>17334.3333333333</v>
      </c>
      <c r="N21" s="234" t="n">
        <f aca="false">M21*C$3</f>
        <v>2946.83666666667</v>
      </c>
    </row>
    <row r="22" customFormat="false" ht="15.75" hidden="false" customHeight="true" outlineLevel="0" collapsed="false">
      <c r="A22" s="231" t="n">
        <f aca="false">A21+1</f>
        <v>11</v>
      </c>
      <c r="B22" s="231" t="n">
        <f aca="false">B21-F21</f>
        <v>2549166.66666667</v>
      </c>
      <c r="C22" s="232" t="n">
        <f aca="false">+IF(M22&gt;=0,M22,0)</f>
        <v>16994.4444444444</v>
      </c>
      <c r="D22" s="232" t="n">
        <f aca="false">+IF(N22&gt;=0,N22,0)</f>
        <v>2889.05555555556</v>
      </c>
      <c r="E22" s="232" t="n">
        <f aca="false">+C22+D22</f>
        <v>19883.5</v>
      </c>
      <c r="F22" s="232" t="n">
        <f aca="false">+IF(C22&gt;1,J22,0)</f>
        <v>50983.3333333333</v>
      </c>
      <c r="G22" s="232" t="n">
        <f aca="false">+IF(E22&gt;1,L22,0)</f>
        <v>70866.8333333333</v>
      </c>
      <c r="H22" s="232" t="n">
        <f aca="false">IF(F22&lt;=0,0,$L$74)</f>
        <v>64305.2783333333</v>
      </c>
      <c r="I22" s="168"/>
      <c r="J22" s="206" t="n">
        <f aca="false">+G22-E22</f>
        <v>50983.3333333333</v>
      </c>
      <c r="L22" s="233" t="n">
        <f aca="false">IF($C$6&gt;=11,E22,($C$1/$C$8)+E22)</f>
        <v>70866.8333333333</v>
      </c>
      <c r="M22" s="233" t="n">
        <f aca="false">B22*E$2</f>
        <v>16994.4444444444</v>
      </c>
      <c r="N22" s="234" t="n">
        <f aca="false">M22*C$3</f>
        <v>2889.05555555556</v>
      </c>
    </row>
    <row r="23" customFormat="false" ht="15.75" hidden="false" customHeight="true" outlineLevel="0" collapsed="false">
      <c r="A23" s="235" t="n">
        <f aca="false">A22+1</f>
        <v>12</v>
      </c>
      <c r="B23" s="235" t="n">
        <f aca="false">B22-F22</f>
        <v>2498183.33333333</v>
      </c>
      <c r="C23" s="236" t="n">
        <f aca="false">+IF(M23&gt;=0,M23,0)</f>
        <v>16654.5555555556</v>
      </c>
      <c r="D23" s="236" t="n">
        <f aca="false">+IF(N23&gt;=0,N23,0)</f>
        <v>2831.27444444444</v>
      </c>
      <c r="E23" s="236" t="n">
        <f aca="false">+C23+D23</f>
        <v>19485.83</v>
      </c>
      <c r="F23" s="236" t="n">
        <f aca="false">+IF(C23&gt;1,J23,0)</f>
        <v>50983.3333333333</v>
      </c>
      <c r="G23" s="236" t="n">
        <f aca="false">+IF(E23&gt;1,L23,0)</f>
        <v>70469.1633333333</v>
      </c>
      <c r="H23" s="236" t="n">
        <f aca="false">IF(F23&lt;=0,0,$L$74)</f>
        <v>64305.2783333333</v>
      </c>
      <c r="I23" s="168"/>
      <c r="J23" s="206" t="n">
        <f aca="false">+G23-E23</f>
        <v>50983.3333333333</v>
      </c>
      <c r="L23" s="237" t="n">
        <f aca="false">IF($C$6&gt;=12,E23,($C$1/$C$8)+E23)</f>
        <v>70469.1633333333</v>
      </c>
      <c r="M23" s="237" t="n">
        <f aca="false">B23*E$2</f>
        <v>16654.5555555556</v>
      </c>
      <c r="N23" s="237" t="n">
        <f aca="false">M23*C$3</f>
        <v>2831.27444444444</v>
      </c>
    </row>
    <row r="24" customFormat="false" ht="15.75" hidden="false" customHeight="true" outlineLevel="0" collapsed="false">
      <c r="A24" s="231" t="n">
        <f aca="false">A23+1</f>
        <v>13</v>
      </c>
      <c r="B24" s="231" t="n">
        <f aca="false">B23-F23</f>
        <v>2447200</v>
      </c>
      <c r="C24" s="232" t="n">
        <f aca="false">+IF(M24&gt;=0,M24,0)</f>
        <v>16314.6666666667</v>
      </c>
      <c r="D24" s="232" t="n">
        <f aca="false">+IF(N24&gt;=0,N24,0)</f>
        <v>2773.49333333333</v>
      </c>
      <c r="E24" s="232" t="n">
        <f aca="false">+C24+D24</f>
        <v>19088.16</v>
      </c>
      <c r="F24" s="232" t="n">
        <f aca="false">+IF(C24&gt;1,J24,0)</f>
        <v>50983.3333333333</v>
      </c>
      <c r="G24" s="232" t="n">
        <f aca="false">+IF(E24&gt;1,L24,0)</f>
        <v>70071.4933333333</v>
      </c>
      <c r="H24" s="232" t="n">
        <f aca="false">IF(F24&lt;=0,0,$L$74)</f>
        <v>64305.2783333333</v>
      </c>
      <c r="I24" s="168"/>
      <c r="J24" s="206" t="n">
        <f aca="false">+G24-E24</f>
        <v>50983.3333333333</v>
      </c>
      <c r="L24" s="233" t="n">
        <f aca="false">IF($C$6&gt;=13,E24,($C$1/$C$8)+E24)</f>
        <v>70071.4933333333</v>
      </c>
      <c r="M24" s="233" t="n">
        <f aca="false">B24*E$2</f>
        <v>16314.6666666667</v>
      </c>
      <c r="N24" s="234" t="n">
        <f aca="false">M24*C$3</f>
        <v>2773.49333333333</v>
      </c>
    </row>
    <row r="25" customFormat="false" ht="15.75" hidden="false" customHeight="true" outlineLevel="0" collapsed="false">
      <c r="A25" s="231" t="n">
        <f aca="false">A24+1</f>
        <v>14</v>
      </c>
      <c r="B25" s="231" t="n">
        <f aca="false">B24-F24</f>
        <v>2396216.66666667</v>
      </c>
      <c r="C25" s="232" t="n">
        <f aca="false">+IF(M25&gt;=0,M25,0)</f>
        <v>15974.7777777778</v>
      </c>
      <c r="D25" s="232" t="n">
        <f aca="false">+IF(N25&gt;=0,N25,0)</f>
        <v>2715.71222222222</v>
      </c>
      <c r="E25" s="232" t="n">
        <f aca="false">+C25+D25</f>
        <v>18690.49</v>
      </c>
      <c r="F25" s="232" t="n">
        <f aca="false">+IF(C25&gt;1,J25,0)</f>
        <v>50983.3333333333</v>
      </c>
      <c r="G25" s="232" t="n">
        <f aca="false">+IF(E25&gt;1,L25,0)</f>
        <v>69673.8233333333</v>
      </c>
      <c r="H25" s="232" t="n">
        <f aca="false">IF(F25&lt;=0,0,$L$74)</f>
        <v>64305.2783333333</v>
      </c>
      <c r="I25" s="168"/>
      <c r="J25" s="206" t="n">
        <f aca="false">+G25-E25</f>
        <v>50983.3333333333</v>
      </c>
      <c r="L25" s="233" t="n">
        <f aca="false">IF($C$6&gt;=14,E25,($C$1/$C$8)+E25)</f>
        <v>69673.8233333333</v>
      </c>
      <c r="M25" s="233" t="n">
        <f aca="false">B25*E$2</f>
        <v>15974.7777777778</v>
      </c>
      <c r="N25" s="234" t="n">
        <f aca="false">M25*C$3</f>
        <v>2715.71222222222</v>
      </c>
    </row>
    <row r="26" customFormat="false" ht="15.75" hidden="false" customHeight="true" outlineLevel="0" collapsed="false">
      <c r="A26" s="231" t="n">
        <f aca="false">A25+1</f>
        <v>15</v>
      </c>
      <c r="B26" s="231" t="n">
        <f aca="false">B25-F25</f>
        <v>2345233.33333333</v>
      </c>
      <c r="C26" s="232" t="n">
        <f aca="false">+IF(M26&gt;=0,M26,0)</f>
        <v>15634.8888888889</v>
      </c>
      <c r="D26" s="232" t="n">
        <f aca="false">+IF(N26&gt;=0,N26,0)</f>
        <v>2657.93111111111</v>
      </c>
      <c r="E26" s="232" t="n">
        <f aca="false">+C26+D26</f>
        <v>18292.82</v>
      </c>
      <c r="F26" s="232" t="n">
        <f aca="false">+IF(C26&gt;1,J26,0)</f>
        <v>50983.3333333333</v>
      </c>
      <c r="G26" s="232" t="n">
        <f aca="false">+IF(E26&gt;1,L26,0)</f>
        <v>69276.1533333333</v>
      </c>
      <c r="H26" s="232" t="n">
        <f aca="false">IF(F26&lt;=0,0,$L$74)</f>
        <v>64305.2783333333</v>
      </c>
      <c r="I26" s="168"/>
      <c r="J26" s="206" t="n">
        <f aca="false">+G26-E26</f>
        <v>50983.3333333333</v>
      </c>
      <c r="L26" s="233" t="n">
        <f aca="false">IF($C$6&gt;=15,E26,($C$1/$C$8)+E26)</f>
        <v>69276.1533333333</v>
      </c>
      <c r="M26" s="233" t="n">
        <f aca="false">B26*E$2</f>
        <v>15634.8888888889</v>
      </c>
      <c r="N26" s="234" t="n">
        <f aca="false">M26*C$3</f>
        <v>2657.93111111111</v>
      </c>
    </row>
    <row r="27" customFormat="false" ht="15.75" hidden="false" customHeight="true" outlineLevel="0" collapsed="false">
      <c r="A27" s="231" t="n">
        <f aca="false">A26+1</f>
        <v>16</v>
      </c>
      <c r="B27" s="231" t="n">
        <f aca="false">B26-F26</f>
        <v>2294250</v>
      </c>
      <c r="C27" s="232" t="n">
        <f aca="false">+IF(M27&gt;=0,M27,0)</f>
        <v>15295</v>
      </c>
      <c r="D27" s="232" t="n">
        <f aca="false">+IF(N27&gt;=0,N27,0)</f>
        <v>2600.15</v>
      </c>
      <c r="E27" s="232" t="n">
        <f aca="false">+C27+D27</f>
        <v>17895.15</v>
      </c>
      <c r="F27" s="232" t="n">
        <f aca="false">+IF(C27&gt;1,J27,0)</f>
        <v>50983.3333333333</v>
      </c>
      <c r="G27" s="232" t="n">
        <f aca="false">+IF(E27&gt;1,L27,0)</f>
        <v>68878.4833333333</v>
      </c>
      <c r="H27" s="232" t="n">
        <f aca="false">IF(F27&lt;=0,0,$L$74)</f>
        <v>64305.2783333333</v>
      </c>
      <c r="I27" s="168"/>
      <c r="J27" s="206" t="n">
        <f aca="false">+G27-E27</f>
        <v>50983.3333333333</v>
      </c>
      <c r="L27" s="233" t="n">
        <f aca="false">IF($C$6&gt;=16,E27,($C$1/$C$8)+E27)</f>
        <v>68878.4833333333</v>
      </c>
      <c r="M27" s="233" t="n">
        <f aca="false">B27*E$2</f>
        <v>15295</v>
      </c>
      <c r="N27" s="234" t="n">
        <f aca="false">M27*C$3</f>
        <v>2600.15</v>
      </c>
    </row>
    <row r="28" customFormat="false" ht="15.75" hidden="false" customHeight="true" outlineLevel="0" collapsed="false">
      <c r="A28" s="231" t="n">
        <f aca="false">A27+1</f>
        <v>17</v>
      </c>
      <c r="B28" s="231" t="n">
        <f aca="false">B27-F27</f>
        <v>2243266.66666667</v>
      </c>
      <c r="C28" s="232" t="n">
        <f aca="false">+IF(M28&gt;=0,M28,0)</f>
        <v>14955.1111111111</v>
      </c>
      <c r="D28" s="232" t="n">
        <f aca="false">+IF(N28&gt;=0,N28,0)</f>
        <v>2542.36888888889</v>
      </c>
      <c r="E28" s="232" t="n">
        <f aca="false">+C28+D28</f>
        <v>17497.48</v>
      </c>
      <c r="F28" s="232" t="n">
        <f aca="false">+IF(C28&gt;1,J28,0)</f>
        <v>50983.3333333333</v>
      </c>
      <c r="G28" s="232" t="n">
        <f aca="false">+IF(E28&gt;1,L28,0)</f>
        <v>68480.8133333333</v>
      </c>
      <c r="H28" s="232" t="n">
        <f aca="false">IF(F28&lt;=0,0,$L$74)</f>
        <v>64305.2783333333</v>
      </c>
      <c r="I28" s="168"/>
      <c r="J28" s="206" t="n">
        <f aca="false">+G28-E28</f>
        <v>50983.3333333333</v>
      </c>
      <c r="L28" s="233" t="n">
        <f aca="false">IF($C$6&gt;=17,E28,($C$1/$C$8)+E28)</f>
        <v>68480.8133333333</v>
      </c>
      <c r="M28" s="233" t="n">
        <f aca="false">B28*E$2</f>
        <v>14955.1111111111</v>
      </c>
      <c r="N28" s="234" t="n">
        <f aca="false">M28*C$3</f>
        <v>2542.36888888889</v>
      </c>
    </row>
    <row r="29" customFormat="false" ht="15.75" hidden="false" customHeight="true" outlineLevel="0" collapsed="false">
      <c r="A29" s="231" t="n">
        <f aca="false">A28+1</f>
        <v>18</v>
      </c>
      <c r="B29" s="231" t="n">
        <f aca="false">B28-F28</f>
        <v>2192283.33333333</v>
      </c>
      <c r="C29" s="232" t="n">
        <f aca="false">+IF(M29&gt;=0,M29,0)</f>
        <v>14615.2222222222</v>
      </c>
      <c r="D29" s="232" t="n">
        <f aca="false">+IF(N29&gt;=0,N29,0)</f>
        <v>2484.58777777778</v>
      </c>
      <c r="E29" s="232" t="n">
        <f aca="false">+C29+D29</f>
        <v>17099.81</v>
      </c>
      <c r="F29" s="232" t="n">
        <f aca="false">+IF(C29&gt;1,J29,0)</f>
        <v>50983.3333333333</v>
      </c>
      <c r="G29" s="232" t="n">
        <f aca="false">+IF(E29&gt;1,L29,0)</f>
        <v>68083.1433333333</v>
      </c>
      <c r="H29" s="232" t="n">
        <f aca="false">IF(F29&lt;=0,0,$L$74)</f>
        <v>64305.2783333333</v>
      </c>
      <c r="I29" s="168"/>
      <c r="J29" s="206" t="n">
        <f aca="false">+G29-E29</f>
        <v>50983.3333333333</v>
      </c>
      <c r="L29" s="233" t="n">
        <f aca="false">IF($C$6&gt;=18,E29,($C$1/$C$8)+E29)</f>
        <v>68083.1433333333</v>
      </c>
      <c r="M29" s="233" t="n">
        <f aca="false">B29*E$2</f>
        <v>14615.2222222222</v>
      </c>
      <c r="N29" s="234" t="n">
        <f aca="false">M29*C$3</f>
        <v>2484.58777777778</v>
      </c>
    </row>
    <row r="30" customFormat="false" ht="15.75" hidden="false" customHeight="true" outlineLevel="0" collapsed="false">
      <c r="A30" s="231" t="n">
        <f aca="false">A29+1</f>
        <v>19</v>
      </c>
      <c r="B30" s="231" t="n">
        <f aca="false">B29-F29</f>
        <v>2141300</v>
      </c>
      <c r="C30" s="232" t="n">
        <f aca="false">+IF(M30&gt;=0,M30,0)</f>
        <v>14275.3333333333</v>
      </c>
      <c r="D30" s="232" t="n">
        <f aca="false">+IF(N30&gt;=0,N30,0)</f>
        <v>2426.80666666666</v>
      </c>
      <c r="E30" s="232" t="n">
        <f aca="false">+C30+D30</f>
        <v>16702.14</v>
      </c>
      <c r="F30" s="232" t="n">
        <f aca="false">+IF(C30&gt;1,J30,0)</f>
        <v>50983.3333333333</v>
      </c>
      <c r="G30" s="232" t="n">
        <f aca="false">+IF(E30&gt;1,L30,0)</f>
        <v>67685.4733333333</v>
      </c>
      <c r="H30" s="232" t="n">
        <f aca="false">IF(F30&lt;=0,0,$L$74)</f>
        <v>64305.2783333333</v>
      </c>
      <c r="I30" s="168"/>
      <c r="J30" s="206" t="n">
        <f aca="false">+G30-E30</f>
        <v>50983.3333333333</v>
      </c>
      <c r="L30" s="233" t="n">
        <f aca="false">IF($C$6&gt;=19,E30,($C$1/$C$8)+E30)</f>
        <v>67685.4733333333</v>
      </c>
      <c r="M30" s="233" t="n">
        <f aca="false">B30*E$2</f>
        <v>14275.3333333333</v>
      </c>
      <c r="N30" s="234" t="n">
        <f aca="false">M30*C$3</f>
        <v>2426.80666666666</v>
      </c>
    </row>
    <row r="31" customFormat="false" ht="15.75" hidden="false" customHeight="true" outlineLevel="0" collapsed="false">
      <c r="A31" s="231" t="n">
        <f aca="false">A30+1</f>
        <v>20</v>
      </c>
      <c r="B31" s="231" t="n">
        <f aca="false">B30-F30</f>
        <v>2090316.66666666</v>
      </c>
      <c r="C31" s="232" t="n">
        <f aca="false">+IF(M31&gt;=0,M31,0)</f>
        <v>13935.4444444444</v>
      </c>
      <c r="D31" s="232" t="n">
        <f aca="false">+IF(N31&gt;=0,N31,0)</f>
        <v>2369.02555555555</v>
      </c>
      <c r="E31" s="232" t="n">
        <f aca="false">+C31+D31</f>
        <v>16304.47</v>
      </c>
      <c r="F31" s="232" t="n">
        <f aca="false">+IF(C31&gt;1,J31,0)</f>
        <v>50983.3333333333</v>
      </c>
      <c r="G31" s="232" t="n">
        <f aca="false">+IF(E31&gt;1,L31,0)</f>
        <v>67287.8033333333</v>
      </c>
      <c r="H31" s="232" t="n">
        <f aca="false">IF(F31&lt;=0,0,$L$74)</f>
        <v>64305.2783333333</v>
      </c>
      <c r="I31" s="168"/>
      <c r="J31" s="206" t="n">
        <f aca="false">+G31-E31</f>
        <v>50983.3333333333</v>
      </c>
      <c r="L31" s="233" t="n">
        <f aca="false">IF($C$6&gt;=20,E31,($C$1/$C$8)+E31)</f>
        <v>67287.8033333333</v>
      </c>
      <c r="M31" s="233" t="n">
        <f aca="false">B31*E$2</f>
        <v>13935.4444444444</v>
      </c>
      <c r="N31" s="234" t="n">
        <f aca="false">M31*C$3</f>
        <v>2369.02555555555</v>
      </c>
    </row>
    <row r="32" customFormat="false" ht="15.75" hidden="false" customHeight="true" outlineLevel="0" collapsed="false">
      <c r="A32" s="231" t="n">
        <f aca="false">A31+1</f>
        <v>21</v>
      </c>
      <c r="B32" s="231" t="n">
        <f aca="false">B31-F31</f>
        <v>2039333.33333333</v>
      </c>
      <c r="C32" s="232" t="n">
        <f aca="false">+IF(M32&gt;=0,M32,0)</f>
        <v>13595.5555555555</v>
      </c>
      <c r="D32" s="232" t="n">
        <f aca="false">+IF(N32&gt;=0,N32,0)</f>
        <v>2311.24444444444</v>
      </c>
      <c r="E32" s="232" t="n">
        <f aca="false">+C32+D32</f>
        <v>15906.8</v>
      </c>
      <c r="F32" s="232" t="n">
        <f aca="false">+IF(C32&gt;1,J32,0)</f>
        <v>50983.3333333333</v>
      </c>
      <c r="G32" s="232" t="n">
        <f aca="false">+IF(E32&gt;1,L32,0)</f>
        <v>66890.1333333333</v>
      </c>
      <c r="H32" s="232" t="n">
        <f aca="false">IF(F32&lt;=0,0,$L$74)</f>
        <v>64305.2783333333</v>
      </c>
      <c r="I32" s="168"/>
      <c r="J32" s="206" t="n">
        <f aca="false">+G32-E32</f>
        <v>50983.3333333333</v>
      </c>
      <c r="L32" s="233" t="n">
        <f aca="false">IF($C$6&gt;=21,E32,($C$1/$C$8)+E32)</f>
        <v>66890.1333333333</v>
      </c>
      <c r="M32" s="233" t="n">
        <f aca="false">B32*E$2</f>
        <v>13595.5555555555</v>
      </c>
      <c r="N32" s="234" t="n">
        <f aca="false">M32*C$3</f>
        <v>2311.24444444444</v>
      </c>
    </row>
    <row r="33" customFormat="false" ht="15.75" hidden="false" customHeight="true" outlineLevel="0" collapsed="false">
      <c r="A33" s="231" t="n">
        <f aca="false">A32+1</f>
        <v>22</v>
      </c>
      <c r="B33" s="231" t="n">
        <f aca="false">B32-F32</f>
        <v>1988350</v>
      </c>
      <c r="C33" s="232" t="n">
        <f aca="false">+IF(M33&gt;=0,M33,0)</f>
        <v>13255.6666666667</v>
      </c>
      <c r="D33" s="232" t="n">
        <f aca="false">+IF(N33&gt;=0,N33,0)</f>
        <v>2253.46333333333</v>
      </c>
      <c r="E33" s="232" t="n">
        <f aca="false">+C33+D33</f>
        <v>15509.13</v>
      </c>
      <c r="F33" s="232" t="n">
        <f aca="false">+IF(C33&gt;1,J33,0)</f>
        <v>50983.3333333333</v>
      </c>
      <c r="G33" s="232" t="n">
        <f aca="false">+IF(E33&gt;1,L33,0)</f>
        <v>66492.4633333333</v>
      </c>
      <c r="H33" s="232" t="n">
        <f aca="false">IF(F33&lt;=0,0,$L$74)</f>
        <v>64305.2783333333</v>
      </c>
      <c r="I33" s="168"/>
      <c r="J33" s="206" t="n">
        <f aca="false">+G33-E33</f>
        <v>50983.3333333333</v>
      </c>
      <c r="L33" s="233" t="n">
        <f aca="false">IF($C$6&gt;=22,E33,($C$1/$C$8)+E33)</f>
        <v>66492.4633333333</v>
      </c>
      <c r="M33" s="233" t="n">
        <f aca="false">B33*E$2</f>
        <v>13255.6666666667</v>
      </c>
      <c r="N33" s="234" t="n">
        <f aca="false">M33*C$3</f>
        <v>2253.46333333333</v>
      </c>
    </row>
    <row r="34" customFormat="false" ht="15.75" hidden="false" customHeight="true" outlineLevel="0" collapsed="false">
      <c r="A34" s="231" t="n">
        <f aca="false">A33+1</f>
        <v>23</v>
      </c>
      <c r="B34" s="231" t="n">
        <f aca="false">B33-F33</f>
        <v>1937366.66666667</v>
      </c>
      <c r="C34" s="232" t="n">
        <f aca="false">+IF(M34&gt;=0,M34,0)</f>
        <v>12915.7777777778</v>
      </c>
      <c r="D34" s="232" t="n">
        <f aca="false">+IF(N34&gt;=0,N34,0)</f>
        <v>2195.68222222222</v>
      </c>
      <c r="E34" s="232" t="n">
        <f aca="false">+C34+D34</f>
        <v>15111.46</v>
      </c>
      <c r="F34" s="232" t="n">
        <f aca="false">+IF(C34&gt;1,J34,0)</f>
        <v>50983.3333333333</v>
      </c>
      <c r="G34" s="232" t="n">
        <f aca="false">+IF(E34&gt;1,L34,0)</f>
        <v>66094.7933333333</v>
      </c>
      <c r="H34" s="232" t="n">
        <f aca="false">IF(F34&lt;=0,0,$L$74)</f>
        <v>64305.2783333333</v>
      </c>
      <c r="I34" s="168"/>
      <c r="J34" s="206" t="n">
        <f aca="false">+G34-E34</f>
        <v>50983.3333333333</v>
      </c>
      <c r="L34" s="233" t="n">
        <f aca="false">IF($C$6&gt;=23,E34,($C$1/$C$8)+E34)</f>
        <v>66094.7933333333</v>
      </c>
      <c r="M34" s="233" t="n">
        <f aca="false">B34*E$2</f>
        <v>12915.7777777778</v>
      </c>
      <c r="N34" s="234" t="n">
        <f aca="false">M34*C$3</f>
        <v>2195.68222222222</v>
      </c>
    </row>
    <row r="35" customFormat="false" ht="15.75" hidden="false" customHeight="true" outlineLevel="0" collapsed="false">
      <c r="A35" s="235" t="n">
        <f aca="false">A34+1</f>
        <v>24</v>
      </c>
      <c r="B35" s="235" t="n">
        <f aca="false">B34-F34</f>
        <v>1886383.33333333</v>
      </c>
      <c r="C35" s="236" t="n">
        <f aca="false">+IF(M35&gt;=0,M35,0)</f>
        <v>12575.8888888889</v>
      </c>
      <c r="D35" s="236" t="n">
        <f aca="false">+IF(N35&gt;=0,N35,0)</f>
        <v>2137.90111111111</v>
      </c>
      <c r="E35" s="236" t="n">
        <f aca="false">+C35+D35</f>
        <v>14713.79</v>
      </c>
      <c r="F35" s="236" t="n">
        <f aca="false">+IF(C35&gt;1,J35,0)</f>
        <v>50983.3333333333</v>
      </c>
      <c r="G35" s="236" t="n">
        <f aca="false">+IF(E35&gt;1,L35,0)</f>
        <v>65697.1233333333</v>
      </c>
      <c r="H35" s="236" t="n">
        <f aca="false">IF(F35&lt;=0,0,$L$74)</f>
        <v>64305.2783333333</v>
      </c>
      <c r="I35" s="168"/>
      <c r="J35" s="206" t="n">
        <f aca="false">+G35-E35</f>
        <v>50983.3333333333</v>
      </c>
      <c r="L35" s="237" t="n">
        <f aca="false">IF($C$6&gt;=24,E35,($C$1/$C$8)+E35)</f>
        <v>65697.1233333333</v>
      </c>
      <c r="M35" s="237" t="n">
        <f aca="false">B35*E$2</f>
        <v>12575.8888888889</v>
      </c>
      <c r="N35" s="237" t="n">
        <f aca="false">M35*C$3</f>
        <v>2137.90111111111</v>
      </c>
    </row>
    <row r="36" customFormat="false" ht="15.75" hidden="false" customHeight="true" outlineLevel="0" collapsed="false">
      <c r="A36" s="231" t="n">
        <f aca="false">A35+1</f>
        <v>25</v>
      </c>
      <c r="B36" s="231" t="n">
        <f aca="false">B35-F35</f>
        <v>1835400</v>
      </c>
      <c r="C36" s="232" t="n">
        <f aca="false">+IF(M36&gt;=0,M36,0)</f>
        <v>12236</v>
      </c>
      <c r="D36" s="232" t="n">
        <f aca="false">+IF(N36&gt;=0,N36,0)</f>
        <v>2080.12</v>
      </c>
      <c r="E36" s="232" t="n">
        <f aca="false">+C36+D36</f>
        <v>14316.12</v>
      </c>
      <c r="F36" s="232" t="n">
        <f aca="false">+IF(C36&gt;1,J36,0)</f>
        <v>50983.3333333333</v>
      </c>
      <c r="G36" s="232" t="n">
        <f aca="false">+IF(E36&gt;1,L36,0)</f>
        <v>65299.4533333333</v>
      </c>
      <c r="H36" s="232" t="n">
        <f aca="false">IF(F36&lt;=0,0,$L$74)</f>
        <v>64305.2783333333</v>
      </c>
      <c r="I36" s="168"/>
      <c r="J36" s="206" t="n">
        <f aca="false">+G36-E36</f>
        <v>50983.3333333333</v>
      </c>
      <c r="L36" s="233" t="n">
        <f aca="false">IF($C$6&gt;=25,E36,($C$1/$C$8)+E36)</f>
        <v>65299.4533333333</v>
      </c>
      <c r="M36" s="233" t="n">
        <f aca="false">B36*E$2</f>
        <v>12236</v>
      </c>
      <c r="N36" s="234" t="n">
        <f aca="false">M36*C$3</f>
        <v>2080.12</v>
      </c>
    </row>
    <row r="37" customFormat="false" ht="15.75" hidden="false" customHeight="true" outlineLevel="0" collapsed="false">
      <c r="A37" s="231" t="n">
        <f aca="false">A36+1</f>
        <v>26</v>
      </c>
      <c r="B37" s="231" t="n">
        <f aca="false">B36-F36</f>
        <v>1784416.66666667</v>
      </c>
      <c r="C37" s="232" t="n">
        <f aca="false">+IF(M37&gt;=0,M37,0)</f>
        <v>11896.1111111111</v>
      </c>
      <c r="D37" s="232" t="n">
        <f aca="false">+IF(N37&gt;=0,N37,0)</f>
        <v>2022.33888888889</v>
      </c>
      <c r="E37" s="232" t="n">
        <f aca="false">+C37+D37</f>
        <v>13918.45</v>
      </c>
      <c r="F37" s="232" t="n">
        <f aca="false">+IF(C37&gt;1,J37,0)</f>
        <v>50983.3333333333</v>
      </c>
      <c r="G37" s="232" t="n">
        <f aca="false">+IF(E37&gt;1,L37,0)</f>
        <v>64901.7833333333</v>
      </c>
      <c r="H37" s="232" t="n">
        <f aca="false">IF(F37&lt;=0,0,$L$74)</f>
        <v>64305.2783333333</v>
      </c>
      <c r="I37" s="168"/>
      <c r="J37" s="206" t="n">
        <f aca="false">+G37-E37</f>
        <v>50983.3333333333</v>
      </c>
      <c r="L37" s="233" t="n">
        <f aca="false">IF($C$6&gt;=26,E37,($C$1/$C$8)+E37)</f>
        <v>64901.7833333333</v>
      </c>
      <c r="M37" s="233" t="n">
        <f aca="false">B37*E$2</f>
        <v>11896.1111111111</v>
      </c>
      <c r="N37" s="234" t="n">
        <f aca="false">M37*C$3</f>
        <v>2022.33888888889</v>
      </c>
    </row>
    <row r="38" customFormat="false" ht="15.75" hidden="false" customHeight="true" outlineLevel="0" collapsed="false">
      <c r="A38" s="231" t="n">
        <f aca="false">A37+1</f>
        <v>27</v>
      </c>
      <c r="B38" s="231" t="n">
        <f aca="false">B37-F37</f>
        <v>1733433.33333333</v>
      </c>
      <c r="C38" s="232" t="n">
        <f aca="false">+IF(M38&gt;=0,M38,0)</f>
        <v>11556.2222222222</v>
      </c>
      <c r="D38" s="232" t="n">
        <f aca="false">+IF(N38&gt;=0,N38,0)</f>
        <v>1964.55777777778</v>
      </c>
      <c r="E38" s="232" t="n">
        <f aca="false">+C38+D38</f>
        <v>13520.78</v>
      </c>
      <c r="F38" s="232" t="n">
        <f aca="false">+IF(C38&gt;1,J38,0)</f>
        <v>50983.3333333333</v>
      </c>
      <c r="G38" s="232" t="n">
        <f aca="false">+IF(E38&gt;1,L38,0)</f>
        <v>64504.1133333333</v>
      </c>
      <c r="H38" s="232" t="n">
        <f aca="false">IF(F38&lt;=0,0,$L$74)</f>
        <v>64305.2783333333</v>
      </c>
      <c r="I38" s="168"/>
      <c r="J38" s="206" t="n">
        <f aca="false">+G38-E38</f>
        <v>50983.3333333333</v>
      </c>
      <c r="L38" s="233" t="n">
        <f aca="false">IF($C$6&gt;=27,E38,($C$1/$C$8)+E38)</f>
        <v>64504.1133333333</v>
      </c>
      <c r="M38" s="233" t="n">
        <f aca="false">B38*E$2</f>
        <v>11556.2222222222</v>
      </c>
      <c r="N38" s="234" t="n">
        <f aca="false">M38*C$3</f>
        <v>1964.55777777778</v>
      </c>
    </row>
    <row r="39" customFormat="false" ht="15.75" hidden="false" customHeight="true" outlineLevel="0" collapsed="false">
      <c r="A39" s="231" t="n">
        <f aca="false">A38+1</f>
        <v>28</v>
      </c>
      <c r="B39" s="231" t="n">
        <f aca="false">B38-F38</f>
        <v>1682450</v>
      </c>
      <c r="C39" s="232" t="n">
        <f aca="false">+IF(M39&gt;=0,M39,0)</f>
        <v>11216.3333333333</v>
      </c>
      <c r="D39" s="232" t="n">
        <f aca="false">+IF(N39&gt;=0,N39,0)</f>
        <v>1906.77666666667</v>
      </c>
      <c r="E39" s="232" t="n">
        <f aca="false">+C39+D39</f>
        <v>13123.11</v>
      </c>
      <c r="F39" s="232" t="n">
        <f aca="false">+IF(C39&gt;1,J39,0)</f>
        <v>50983.3333333333</v>
      </c>
      <c r="G39" s="232" t="n">
        <f aca="false">+IF(E39&gt;1,L39,0)</f>
        <v>64106.4433333333</v>
      </c>
      <c r="H39" s="232" t="n">
        <f aca="false">IF(F39&lt;=0,0,$L$74)</f>
        <v>64305.2783333333</v>
      </c>
      <c r="I39" s="168"/>
      <c r="J39" s="206" t="n">
        <f aca="false">+G39-E39</f>
        <v>50983.3333333333</v>
      </c>
      <c r="L39" s="233" t="n">
        <f aca="false">IF($C$6&gt;=28,E39,($C$1/$C$8)+E39)</f>
        <v>64106.4433333333</v>
      </c>
      <c r="M39" s="233" t="n">
        <f aca="false">B39*E$2</f>
        <v>11216.3333333333</v>
      </c>
      <c r="N39" s="234" t="n">
        <f aca="false">M39*C$3</f>
        <v>1906.77666666667</v>
      </c>
    </row>
    <row r="40" customFormat="false" ht="15.75" hidden="false" customHeight="true" outlineLevel="0" collapsed="false">
      <c r="A40" s="231" t="n">
        <f aca="false">A39+1</f>
        <v>29</v>
      </c>
      <c r="B40" s="231" t="n">
        <f aca="false">B39-F39</f>
        <v>1631466.66666667</v>
      </c>
      <c r="C40" s="232" t="n">
        <f aca="false">+IF(M40&gt;=0,M40,0)</f>
        <v>10876.4444444444</v>
      </c>
      <c r="D40" s="232" t="n">
        <f aca="false">+IF(N40&gt;=0,N40,0)</f>
        <v>1848.99555555555</v>
      </c>
      <c r="E40" s="232" t="n">
        <f aca="false">+C40+D40</f>
        <v>12725.44</v>
      </c>
      <c r="F40" s="232" t="n">
        <f aca="false">+IF(C40&gt;1,J40,0)</f>
        <v>50983.3333333333</v>
      </c>
      <c r="G40" s="232" t="n">
        <f aca="false">+IF(E40&gt;1,L40,0)</f>
        <v>63708.7733333333</v>
      </c>
      <c r="H40" s="232" t="n">
        <f aca="false">IF(F40&lt;=0,0,$L$74)</f>
        <v>64305.2783333333</v>
      </c>
      <c r="I40" s="168"/>
      <c r="J40" s="206" t="n">
        <f aca="false">+G40-E40</f>
        <v>50983.3333333333</v>
      </c>
      <c r="L40" s="233" t="n">
        <f aca="false">IF($C$6&gt;=29,E40,($C$1/$C$8)+E40)</f>
        <v>63708.7733333333</v>
      </c>
      <c r="M40" s="233" t="n">
        <f aca="false">B40*E$2</f>
        <v>10876.4444444444</v>
      </c>
      <c r="N40" s="234" t="n">
        <f aca="false">M40*C$3</f>
        <v>1848.99555555555</v>
      </c>
    </row>
    <row r="41" customFormat="false" ht="15.75" hidden="false" customHeight="true" outlineLevel="0" collapsed="false">
      <c r="A41" s="231" t="n">
        <f aca="false">A40+1</f>
        <v>30</v>
      </c>
      <c r="B41" s="231" t="n">
        <f aca="false">B40-F40</f>
        <v>1580483.33333333</v>
      </c>
      <c r="C41" s="232" t="n">
        <f aca="false">+IF(M41&gt;=0,M41,0)</f>
        <v>10536.5555555556</v>
      </c>
      <c r="D41" s="232" t="n">
        <f aca="false">+IF(N41&gt;=0,N41,0)</f>
        <v>1791.21444444444</v>
      </c>
      <c r="E41" s="232" t="n">
        <f aca="false">+C41+D41</f>
        <v>12327.77</v>
      </c>
      <c r="F41" s="232" t="n">
        <f aca="false">+IF(C41&gt;1,J41,0)</f>
        <v>50983.3333333333</v>
      </c>
      <c r="G41" s="232" t="n">
        <f aca="false">+IF(E41&gt;1,L41,0)</f>
        <v>63311.1033333333</v>
      </c>
      <c r="H41" s="232" t="n">
        <f aca="false">IF(F41&lt;=0,0,$L$74)</f>
        <v>64305.2783333333</v>
      </c>
      <c r="I41" s="168"/>
      <c r="J41" s="206" t="n">
        <f aca="false">+G41-E41</f>
        <v>50983.3333333333</v>
      </c>
      <c r="L41" s="233" t="n">
        <f aca="false">IF($C$6&gt;=30,E41,($C$1/$C$8)+E41)</f>
        <v>63311.1033333333</v>
      </c>
      <c r="M41" s="233" t="n">
        <f aca="false">B41*E$2</f>
        <v>10536.5555555556</v>
      </c>
      <c r="N41" s="234" t="n">
        <f aca="false">M41*C$3</f>
        <v>1791.21444444444</v>
      </c>
    </row>
    <row r="42" customFormat="false" ht="15.75" hidden="false" customHeight="true" outlineLevel="0" collapsed="false">
      <c r="A42" s="231" t="n">
        <f aca="false">A41+1</f>
        <v>31</v>
      </c>
      <c r="B42" s="231" t="n">
        <f aca="false">B41-F41</f>
        <v>1529500</v>
      </c>
      <c r="C42" s="232" t="n">
        <f aca="false">+IF(M42&gt;=0,M42,0)</f>
        <v>10196.6666666667</v>
      </c>
      <c r="D42" s="232" t="n">
        <f aca="false">+IF(N42&gt;=0,N42,0)</f>
        <v>1733.43333333333</v>
      </c>
      <c r="E42" s="232" t="n">
        <f aca="false">+C42+D42</f>
        <v>11930.1</v>
      </c>
      <c r="F42" s="232" t="n">
        <f aca="false">+IF(C42&gt;1,J42,0)</f>
        <v>50983.3333333333</v>
      </c>
      <c r="G42" s="232" t="n">
        <f aca="false">+IF(E42&gt;1,L42,0)</f>
        <v>62913.4333333333</v>
      </c>
      <c r="H42" s="232" t="n">
        <f aca="false">IF(F42&lt;=0,0,$L$74)</f>
        <v>64305.2783333333</v>
      </c>
      <c r="I42" s="168"/>
      <c r="J42" s="206" t="n">
        <f aca="false">+G42-E42</f>
        <v>50983.3333333333</v>
      </c>
      <c r="L42" s="233" t="n">
        <f aca="false">IF($C$6&gt;=31,E42,($C$1/$C$8)+E42)</f>
        <v>62913.4333333333</v>
      </c>
      <c r="M42" s="233" t="n">
        <f aca="false">B42*E$2</f>
        <v>10196.6666666667</v>
      </c>
      <c r="N42" s="234" t="n">
        <f aca="false">M42*C$3</f>
        <v>1733.43333333333</v>
      </c>
    </row>
    <row r="43" customFormat="false" ht="15.75" hidden="false" customHeight="true" outlineLevel="0" collapsed="false">
      <c r="A43" s="231" t="n">
        <f aca="false">A42+1</f>
        <v>32</v>
      </c>
      <c r="B43" s="231" t="n">
        <f aca="false">B42-F42</f>
        <v>1478516.66666667</v>
      </c>
      <c r="C43" s="232" t="n">
        <f aca="false">+IF(M43&gt;=0,M43,0)</f>
        <v>9856.77777777777</v>
      </c>
      <c r="D43" s="232" t="n">
        <f aca="false">+IF(N43&gt;=0,N43,0)</f>
        <v>1675.65222222222</v>
      </c>
      <c r="E43" s="232" t="n">
        <f aca="false">+C43+D43</f>
        <v>11532.43</v>
      </c>
      <c r="F43" s="232" t="n">
        <f aca="false">+IF(C43&gt;1,J43,0)</f>
        <v>50983.3333333333</v>
      </c>
      <c r="G43" s="232" t="n">
        <f aca="false">+IF(E43&gt;1,L43,0)</f>
        <v>62515.7633333333</v>
      </c>
      <c r="H43" s="232" t="n">
        <f aca="false">IF(F43&lt;=0,0,$L$74)</f>
        <v>64305.2783333333</v>
      </c>
      <c r="I43" s="168"/>
      <c r="J43" s="206" t="n">
        <f aca="false">+G43-E43</f>
        <v>50983.3333333333</v>
      </c>
      <c r="L43" s="233" t="n">
        <f aca="false">IF($C$6&gt;=32,E43,($C$1/$C$8)+E43)</f>
        <v>62515.7633333333</v>
      </c>
      <c r="M43" s="233" t="n">
        <f aca="false">B43*E$2</f>
        <v>9856.77777777777</v>
      </c>
      <c r="N43" s="234" t="n">
        <f aca="false">M43*C$3</f>
        <v>1675.65222222222</v>
      </c>
    </row>
    <row r="44" customFormat="false" ht="15.75" hidden="false" customHeight="true" outlineLevel="0" collapsed="false">
      <c r="A44" s="231" t="n">
        <f aca="false">A43+1</f>
        <v>33</v>
      </c>
      <c r="B44" s="231" t="n">
        <f aca="false">B43-F43</f>
        <v>1427533.33333333</v>
      </c>
      <c r="C44" s="232" t="n">
        <f aca="false">+IF(M44&gt;=0,M44,0)</f>
        <v>9516.88888888889</v>
      </c>
      <c r="D44" s="232" t="n">
        <f aca="false">+IF(N44&gt;=0,N44,0)</f>
        <v>1617.87111111111</v>
      </c>
      <c r="E44" s="232" t="n">
        <f aca="false">+C44+D44</f>
        <v>11134.76</v>
      </c>
      <c r="F44" s="232" t="n">
        <f aca="false">+IF(C44&gt;1,J44,0)</f>
        <v>50983.3333333333</v>
      </c>
      <c r="G44" s="232" t="n">
        <f aca="false">+IF(E44&gt;1,L44,0)</f>
        <v>62118.0933333333</v>
      </c>
      <c r="H44" s="232" t="n">
        <f aca="false">IF(F44&lt;=0,0,$L$74)</f>
        <v>64305.2783333333</v>
      </c>
      <c r="I44" s="168"/>
      <c r="J44" s="206" t="n">
        <f aca="false">+G44-E44</f>
        <v>50983.3333333333</v>
      </c>
      <c r="L44" s="233" t="n">
        <f aca="false">IF($C$6&gt;=33,E44,($C$1/$C$8)+E44)</f>
        <v>62118.0933333333</v>
      </c>
      <c r="M44" s="233" t="n">
        <f aca="false">B44*E$2</f>
        <v>9516.88888888889</v>
      </c>
      <c r="N44" s="234" t="n">
        <f aca="false">M44*C$3</f>
        <v>1617.87111111111</v>
      </c>
    </row>
    <row r="45" customFormat="false" ht="15.75" hidden="false" customHeight="true" outlineLevel="0" collapsed="false">
      <c r="A45" s="231" t="n">
        <f aca="false">A44+1</f>
        <v>34</v>
      </c>
      <c r="B45" s="231" t="n">
        <f aca="false">B44-F44</f>
        <v>1376550</v>
      </c>
      <c r="C45" s="232" t="n">
        <f aca="false">+IF(M45&gt;=0,M45,0)</f>
        <v>9177</v>
      </c>
      <c r="D45" s="232" t="n">
        <f aca="false">+IF(N45&gt;=0,N45,0)</f>
        <v>1560.09</v>
      </c>
      <c r="E45" s="232" t="n">
        <f aca="false">+C45+D45</f>
        <v>10737.09</v>
      </c>
      <c r="F45" s="232" t="n">
        <f aca="false">+IF(C45&gt;1,J45,0)</f>
        <v>50983.3333333333</v>
      </c>
      <c r="G45" s="232" t="n">
        <f aca="false">+IF(E45&gt;1,L45,0)</f>
        <v>61720.4233333333</v>
      </c>
      <c r="H45" s="232" t="n">
        <f aca="false">IF(F45&lt;=0,0,$L$74)</f>
        <v>64305.2783333333</v>
      </c>
      <c r="I45" s="168"/>
      <c r="J45" s="206" t="n">
        <f aca="false">+G45-E45</f>
        <v>50983.3333333333</v>
      </c>
      <c r="L45" s="233" t="n">
        <f aca="false">IF($C$6&gt;=34,E45,($C$1/$C$8)+E45)</f>
        <v>61720.4233333333</v>
      </c>
      <c r="M45" s="233" t="n">
        <f aca="false">B45*E$2</f>
        <v>9177</v>
      </c>
      <c r="N45" s="234" t="n">
        <f aca="false">M45*C$3</f>
        <v>1560.09</v>
      </c>
    </row>
    <row r="46" customFormat="false" ht="15.75" hidden="false" customHeight="true" outlineLevel="0" collapsed="false">
      <c r="A46" s="231" t="n">
        <f aca="false">A45+1</f>
        <v>35</v>
      </c>
      <c r="B46" s="231" t="n">
        <f aca="false">B45-F45</f>
        <v>1325566.66666667</v>
      </c>
      <c r="C46" s="232" t="n">
        <f aca="false">+IF(M46&gt;=0,M46,0)</f>
        <v>8837.11111111111</v>
      </c>
      <c r="D46" s="232" t="n">
        <f aca="false">+IF(N46&gt;=0,N46,0)</f>
        <v>1502.30888888889</v>
      </c>
      <c r="E46" s="232" t="n">
        <f aca="false">+C46+D46</f>
        <v>10339.42</v>
      </c>
      <c r="F46" s="232" t="n">
        <f aca="false">+IF(C46&gt;1,J46,0)</f>
        <v>50983.3333333333</v>
      </c>
      <c r="G46" s="232" t="n">
        <f aca="false">+IF(E46&gt;1,L46,0)</f>
        <v>61322.7533333333</v>
      </c>
      <c r="H46" s="232" t="n">
        <f aca="false">IF(F46&lt;=0,0,$L$74)</f>
        <v>64305.2783333333</v>
      </c>
      <c r="I46" s="168"/>
      <c r="J46" s="206" t="n">
        <f aca="false">+G46-E46</f>
        <v>50983.3333333333</v>
      </c>
      <c r="L46" s="233" t="n">
        <f aca="false">IF($C$6&gt;=35,E46,($C$1/$C$8)+E46)</f>
        <v>61322.7533333333</v>
      </c>
      <c r="M46" s="233" t="n">
        <f aca="false">B46*E$2</f>
        <v>8837.11111111111</v>
      </c>
      <c r="N46" s="234" t="n">
        <f aca="false">M46*C$3</f>
        <v>1502.30888888889</v>
      </c>
    </row>
    <row r="47" customFormat="false" ht="15.75" hidden="false" customHeight="true" outlineLevel="0" collapsed="false">
      <c r="A47" s="235" t="n">
        <f aca="false">A46+1</f>
        <v>36</v>
      </c>
      <c r="B47" s="235" t="n">
        <f aca="false">B46-F46</f>
        <v>1274583.33333333</v>
      </c>
      <c r="C47" s="236" t="n">
        <f aca="false">+IF(M47&gt;=0,M47,0)</f>
        <v>8497.22222222222</v>
      </c>
      <c r="D47" s="236" t="n">
        <f aca="false">+IF(N47&gt;=0,N47,0)</f>
        <v>1444.52777777778</v>
      </c>
      <c r="E47" s="236" t="n">
        <f aca="false">+C47+D47</f>
        <v>9941.75</v>
      </c>
      <c r="F47" s="236" t="n">
        <f aca="false">+IF(C47&gt;1,J47,0)</f>
        <v>50983.3333333333</v>
      </c>
      <c r="G47" s="236" t="n">
        <f aca="false">+IF(E47&gt;1,L47,0)</f>
        <v>60925.0833333333</v>
      </c>
      <c r="H47" s="236" t="n">
        <f aca="false">IF(F47&lt;=0,0,$L$74)</f>
        <v>64305.2783333333</v>
      </c>
      <c r="I47" s="168"/>
      <c r="J47" s="206" t="n">
        <f aca="false">+G47-E47</f>
        <v>50983.3333333333</v>
      </c>
      <c r="L47" s="237" t="n">
        <f aca="false">IF($C$6&gt;=36,E47,($C$1/$C$8)+E47)</f>
        <v>60925.0833333333</v>
      </c>
      <c r="M47" s="237" t="n">
        <f aca="false">B47*E$2</f>
        <v>8497.22222222222</v>
      </c>
      <c r="N47" s="237" t="n">
        <f aca="false">M47*C$3</f>
        <v>1444.52777777778</v>
      </c>
    </row>
    <row r="48" customFormat="false" ht="15.75" hidden="false" customHeight="true" outlineLevel="0" collapsed="false">
      <c r="A48" s="235" t="n">
        <f aca="false">A47+1</f>
        <v>37</v>
      </c>
      <c r="B48" s="235" t="n">
        <f aca="false">B47-F47</f>
        <v>1223600</v>
      </c>
      <c r="C48" s="236" t="n">
        <f aca="false">+IF(M48&gt;=0,M48,0)</f>
        <v>8157.33333333333</v>
      </c>
      <c r="D48" s="236" t="n">
        <f aca="false">+IF(N48&gt;=0,N48,0)</f>
        <v>1386.74666666667</v>
      </c>
      <c r="E48" s="236" t="n">
        <f aca="false">+C48+D48</f>
        <v>9544.08</v>
      </c>
      <c r="F48" s="236" t="n">
        <f aca="false">+IF(C48&gt;1,J48,0)</f>
        <v>50983.3333333333</v>
      </c>
      <c r="G48" s="236" t="n">
        <f aca="false">+IF(E48&gt;1,L48,0)</f>
        <v>60527.4133333333</v>
      </c>
      <c r="H48" s="236" t="n">
        <f aca="false">IF(F48&lt;=0,0,$L$74)</f>
        <v>64305.2783333333</v>
      </c>
      <c r="I48" s="168"/>
      <c r="J48" s="206" t="n">
        <f aca="false">+G48-E48</f>
        <v>50983.3333333333</v>
      </c>
      <c r="L48" s="237" t="n">
        <f aca="false">IF($C$6&gt;=37,E48,($C$1/$C$8)+E48)</f>
        <v>60527.4133333333</v>
      </c>
      <c r="M48" s="237" t="n">
        <f aca="false">B48*E$2</f>
        <v>8157.33333333333</v>
      </c>
      <c r="N48" s="237" t="n">
        <f aca="false">M48*C$3</f>
        <v>1386.74666666667</v>
      </c>
    </row>
    <row r="49" customFormat="false" ht="15" hidden="false" customHeight="true" outlineLevel="0" collapsed="false">
      <c r="A49" s="235" t="n">
        <f aca="false">A48+1</f>
        <v>38</v>
      </c>
      <c r="B49" s="235" t="n">
        <f aca="false">B48-F48</f>
        <v>1172616.66666667</v>
      </c>
      <c r="C49" s="236" t="n">
        <f aca="false">+IF(M49&gt;=0,M49,0)</f>
        <v>7817.44444444444</v>
      </c>
      <c r="D49" s="236" t="n">
        <f aca="false">+IF(N49&gt;=0,N49,0)</f>
        <v>1328.96555555556</v>
      </c>
      <c r="E49" s="236" t="n">
        <f aca="false">+C49+D49</f>
        <v>9146.41</v>
      </c>
      <c r="F49" s="236" t="n">
        <f aca="false">+IF(C49&gt;1,J49,0)</f>
        <v>50983.3333333333</v>
      </c>
      <c r="G49" s="236" t="n">
        <f aca="false">+IF(E49&gt;1,L49,0)</f>
        <v>60129.7433333333</v>
      </c>
      <c r="H49" s="236" t="n">
        <f aca="false">IF(F49&lt;=0,0,$L$74)</f>
        <v>64305.2783333333</v>
      </c>
      <c r="I49" s="168"/>
      <c r="J49" s="206" t="n">
        <f aca="false">+G49-E49</f>
        <v>50983.3333333333</v>
      </c>
      <c r="L49" s="237" t="n">
        <f aca="false">IF($C$6&gt;=38,E49,($C$1/$C$8)+E49)</f>
        <v>60129.7433333333</v>
      </c>
      <c r="M49" s="237" t="n">
        <f aca="false">B49*E$2</f>
        <v>7817.44444444444</v>
      </c>
      <c r="N49" s="237" t="n">
        <f aca="false">M49*C$3</f>
        <v>1328.96555555556</v>
      </c>
    </row>
    <row r="50" customFormat="false" ht="15" hidden="false" customHeight="true" outlineLevel="0" collapsed="false">
      <c r="A50" s="235" t="n">
        <f aca="false">A49+1</f>
        <v>39</v>
      </c>
      <c r="B50" s="235" t="n">
        <f aca="false">B49-F49</f>
        <v>1121633.33333333</v>
      </c>
      <c r="C50" s="236" t="n">
        <f aca="false">+IF(M50&gt;=0,M50,0)</f>
        <v>7477.55555555555</v>
      </c>
      <c r="D50" s="236" t="n">
        <f aca="false">+IF(N50&gt;=0,N50,0)</f>
        <v>1271.18444444444</v>
      </c>
      <c r="E50" s="236" t="n">
        <f aca="false">+C50+D50</f>
        <v>8748.74</v>
      </c>
      <c r="F50" s="236" t="n">
        <f aca="false">+IF(C50&gt;1,J50,0)</f>
        <v>50983.3333333333</v>
      </c>
      <c r="G50" s="236" t="n">
        <f aca="false">+IF(E50&gt;1,L50,0)</f>
        <v>59732.0733333333</v>
      </c>
      <c r="H50" s="236" t="n">
        <f aca="false">IF(F50&lt;=0,0,$L$74)</f>
        <v>64305.2783333333</v>
      </c>
      <c r="I50" s="168"/>
      <c r="J50" s="206" t="n">
        <f aca="false">+G50-E50</f>
        <v>50983.3333333333</v>
      </c>
      <c r="L50" s="237" t="n">
        <f aca="false">IF($C$6&gt;=39,E50,($C$1/$C$8)+E50)</f>
        <v>59732.0733333333</v>
      </c>
      <c r="M50" s="237" t="n">
        <f aca="false">B50*E$2</f>
        <v>7477.55555555555</v>
      </c>
      <c r="N50" s="237" t="n">
        <f aca="false">M50*C$3</f>
        <v>1271.18444444444</v>
      </c>
    </row>
    <row r="51" customFormat="false" ht="15" hidden="false" customHeight="false" outlineLevel="0" collapsed="false">
      <c r="A51" s="235" t="n">
        <f aca="false">A50+1</f>
        <v>40</v>
      </c>
      <c r="B51" s="235" t="n">
        <f aca="false">B50-F50</f>
        <v>1070650</v>
      </c>
      <c r="C51" s="236" t="n">
        <f aca="false">+IF(M51&gt;=0,M51,0)</f>
        <v>7137.66666666667</v>
      </c>
      <c r="D51" s="236" t="n">
        <f aca="false">+IF(N51&gt;=0,N51,0)</f>
        <v>1213.40333333333</v>
      </c>
      <c r="E51" s="236" t="n">
        <f aca="false">+C51+D51</f>
        <v>8351.07</v>
      </c>
      <c r="F51" s="236" t="n">
        <f aca="false">+IF(C51&gt;1,J51,0)</f>
        <v>50983.3333333333</v>
      </c>
      <c r="G51" s="236" t="n">
        <f aca="false">+IF(E51&gt;1,L51,0)</f>
        <v>59334.4033333333</v>
      </c>
      <c r="H51" s="236" t="n">
        <f aca="false">IF(F51&lt;=0,0,$L$74)</f>
        <v>64305.2783333333</v>
      </c>
      <c r="I51" s="168"/>
      <c r="J51" s="206" t="n">
        <f aca="false">+G51-E51</f>
        <v>50983.3333333333</v>
      </c>
      <c r="L51" s="237" t="n">
        <f aca="false">IF($C$6&gt;=40,E51,($C$1/$C$8)+E51)</f>
        <v>59334.4033333333</v>
      </c>
      <c r="M51" s="237" t="n">
        <f aca="false">B51*E$2</f>
        <v>7137.66666666667</v>
      </c>
      <c r="N51" s="237" t="n">
        <f aca="false">M51*C$3</f>
        <v>1213.40333333333</v>
      </c>
    </row>
    <row r="52" customFormat="false" ht="15" hidden="false" customHeight="false" outlineLevel="0" collapsed="false">
      <c r="A52" s="235" t="n">
        <f aca="false">A51+1</f>
        <v>41</v>
      </c>
      <c r="B52" s="235" t="n">
        <f aca="false">B51-F51</f>
        <v>1019666.66666667</v>
      </c>
      <c r="C52" s="236" t="n">
        <f aca="false">+IF(M52&gt;=0,M52,0)</f>
        <v>6797.77777777778</v>
      </c>
      <c r="D52" s="236" t="n">
        <f aca="false">+IF(N52&gt;=0,N52,0)</f>
        <v>1155.62222222222</v>
      </c>
      <c r="E52" s="236" t="n">
        <f aca="false">+C52+D52</f>
        <v>7953.4</v>
      </c>
      <c r="F52" s="236" t="n">
        <f aca="false">+IF(C52&gt;1,J52,0)</f>
        <v>50983.3333333333</v>
      </c>
      <c r="G52" s="236" t="n">
        <f aca="false">+IF(E52&gt;1,L52,0)</f>
        <v>58936.7333333333</v>
      </c>
      <c r="H52" s="236" t="n">
        <f aca="false">IF(F52&lt;=0,0,$L$74)</f>
        <v>64305.2783333333</v>
      </c>
      <c r="I52" s="168"/>
      <c r="J52" s="206" t="n">
        <f aca="false">+G52-E52</f>
        <v>50983.3333333333</v>
      </c>
      <c r="L52" s="237" t="n">
        <f aca="false">IF($C$6&gt;=41,E52,($C$1/$C$8)+E52)</f>
        <v>58936.7333333333</v>
      </c>
      <c r="M52" s="237" t="n">
        <f aca="false">B52*E$2</f>
        <v>6797.77777777778</v>
      </c>
      <c r="N52" s="237" t="n">
        <f aca="false">M52*C$3</f>
        <v>1155.62222222222</v>
      </c>
    </row>
    <row r="53" customFormat="false" ht="15" hidden="false" customHeight="false" outlineLevel="0" collapsed="false">
      <c r="A53" s="235" t="n">
        <f aca="false">A52+1</f>
        <v>42</v>
      </c>
      <c r="B53" s="235" t="n">
        <f aca="false">B52-F52</f>
        <v>968683.333333333</v>
      </c>
      <c r="C53" s="236" t="n">
        <f aca="false">+IF(M53&gt;=0,M53,0)</f>
        <v>6457.88888888889</v>
      </c>
      <c r="D53" s="236" t="n">
        <f aca="false">+IF(N53&gt;=0,N53,0)</f>
        <v>1097.84111111111</v>
      </c>
      <c r="E53" s="236" t="n">
        <f aca="false">+C53+D53</f>
        <v>7555.73</v>
      </c>
      <c r="F53" s="236" t="n">
        <f aca="false">+IF(C53&gt;1,J53,0)</f>
        <v>50983.3333333333</v>
      </c>
      <c r="G53" s="236" t="n">
        <f aca="false">+IF(E53&gt;1,L53,0)</f>
        <v>58539.0633333333</v>
      </c>
      <c r="H53" s="236" t="n">
        <f aca="false">IF(F53&lt;=0,0,$L$74)</f>
        <v>64305.2783333333</v>
      </c>
      <c r="I53" s="168"/>
      <c r="J53" s="206" t="n">
        <f aca="false">+G53-E53</f>
        <v>50983.3333333333</v>
      </c>
      <c r="L53" s="237" t="n">
        <f aca="false">IF($C$6&gt;=42,E53,($C$1/$C$8)+E53)</f>
        <v>58539.0633333333</v>
      </c>
      <c r="M53" s="237" t="n">
        <f aca="false">B53*E$2</f>
        <v>6457.88888888889</v>
      </c>
      <c r="N53" s="237" t="n">
        <f aca="false">M53*C$3</f>
        <v>1097.84111111111</v>
      </c>
    </row>
    <row r="54" customFormat="false" ht="15" hidden="false" customHeight="false" outlineLevel="0" collapsed="false">
      <c r="A54" s="235" t="n">
        <f aca="false">A53+1</f>
        <v>43</v>
      </c>
      <c r="B54" s="235" t="n">
        <f aca="false">B53-F53</f>
        <v>917700</v>
      </c>
      <c r="C54" s="236" t="n">
        <f aca="false">+IF(M54&gt;=0,M54,0)</f>
        <v>6118</v>
      </c>
      <c r="D54" s="236" t="n">
        <f aca="false">+IF(N54&gt;=0,N54,0)</f>
        <v>1040.06</v>
      </c>
      <c r="E54" s="236" t="n">
        <f aca="false">+C54+D54</f>
        <v>7158.06</v>
      </c>
      <c r="F54" s="236" t="n">
        <f aca="false">+IF(C54&gt;1,J54,0)</f>
        <v>50983.3333333333</v>
      </c>
      <c r="G54" s="236" t="n">
        <f aca="false">+IF(E54&gt;1,L54,0)</f>
        <v>58141.3933333333</v>
      </c>
      <c r="H54" s="236" t="n">
        <f aca="false">IF(F54&lt;=0,0,$L$74)</f>
        <v>64305.2783333333</v>
      </c>
      <c r="I54" s="168"/>
      <c r="J54" s="206" t="n">
        <f aca="false">+G54-E54</f>
        <v>50983.3333333333</v>
      </c>
      <c r="L54" s="237" t="n">
        <f aca="false">IF($C$6&gt;=43,E54,($C$1/$C$8)+E54)</f>
        <v>58141.3933333333</v>
      </c>
      <c r="M54" s="237" t="n">
        <f aca="false">B54*E$2</f>
        <v>6118</v>
      </c>
      <c r="N54" s="237" t="n">
        <f aca="false">M54*C$3</f>
        <v>1040.06</v>
      </c>
    </row>
    <row r="55" customFormat="false" ht="15" hidden="false" customHeight="false" outlineLevel="0" collapsed="false">
      <c r="A55" s="235" t="n">
        <f aca="false">A54+1</f>
        <v>44</v>
      </c>
      <c r="B55" s="235" t="n">
        <f aca="false">B54-F54</f>
        <v>866716.666666666</v>
      </c>
      <c r="C55" s="236" t="n">
        <f aca="false">+IF(M55&gt;=0,M55,0)</f>
        <v>5778.11111111111</v>
      </c>
      <c r="D55" s="236" t="n">
        <f aca="false">+IF(N55&gt;=0,N55,0)</f>
        <v>982.278888888889</v>
      </c>
      <c r="E55" s="236" t="n">
        <f aca="false">+C55+D55</f>
        <v>6760.39</v>
      </c>
      <c r="F55" s="236" t="n">
        <f aca="false">+IF(C55&gt;1,J55,0)</f>
        <v>50983.3333333333</v>
      </c>
      <c r="G55" s="236" t="n">
        <f aca="false">+IF(E55&gt;1,L55,0)</f>
        <v>57743.7233333333</v>
      </c>
      <c r="H55" s="236" t="n">
        <f aca="false">IF(F55&lt;=0,0,$L$74)</f>
        <v>64305.2783333333</v>
      </c>
      <c r="I55" s="168"/>
      <c r="J55" s="206" t="n">
        <f aca="false">+G55-E55</f>
        <v>50983.3333333333</v>
      </c>
      <c r="L55" s="237" t="n">
        <f aca="false">IF($C$6&gt;=44,E55,($C$1/$C$8)+E55)</f>
        <v>57743.7233333333</v>
      </c>
      <c r="M55" s="237" t="n">
        <f aca="false">B55*E$2</f>
        <v>5778.11111111111</v>
      </c>
      <c r="N55" s="237" t="n">
        <f aca="false">M55*C$3</f>
        <v>982.278888888889</v>
      </c>
    </row>
    <row r="56" customFormat="false" ht="15" hidden="false" customHeight="false" outlineLevel="0" collapsed="false">
      <c r="A56" s="235" t="n">
        <f aca="false">A55+1</f>
        <v>45</v>
      </c>
      <c r="B56" s="235" t="n">
        <f aca="false">B55-F55</f>
        <v>815733.333333333</v>
      </c>
      <c r="C56" s="236" t="n">
        <f aca="false">+IF(M56&gt;=0,M56,0)</f>
        <v>5438.22222222222</v>
      </c>
      <c r="D56" s="236" t="n">
        <f aca="false">+IF(N56&gt;=0,N56,0)</f>
        <v>924.497777777777</v>
      </c>
      <c r="E56" s="236" t="n">
        <f aca="false">+C56+D56</f>
        <v>6362.72</v>
      </c>
      <c r="F56" s="236" t="n">
        <f aca="false">+IF(C56&gt;1,J56,0)</f>
        <v>50983.3333333333</v>
      </c>
      <c r="G56" s="236" t="n">
        <f aca="false">+IF(E56&gt;1,L56,0)</f>
        <v>57346.0533333333</v>
      </c>
      <c r="H56" s="236" t="n">
        <f aca="false">IF(F56&lt;=0,0,$L$74)</f>
        <v>64305.2783333333</v>
      </c>
      <c r="I56" s="168"/>
      <c r="J56" s="206" t="n">
        <f aca="false">+G56-E56</f>
        <v>50983.3333333333</v>
      </c>
      <c r="L56" s="237" t="n">
        <f aca="false">IF($C$6&gt;=45,E56,($C$1/$C$8)+E56)</f>
        <v>57346.0533333333</v>
      </c>
      <c r="M56" s="237" t="n">
        <f aca="false">B56*E$2</f>
        <v>5438.22222222222</v>
      </c>
      <c r="N56" s="237" t="n">
        <f aca="false">M56*C$3</f>
        <v>924.497777777777</v>
      </c>
    </row>
    <row r="57" customFormat="false" ht="15" hidden="false" customHeight="false" outlineLevel="0" collapsed="false">
      <c r="A57" s="235" t="n">
        <f aca="false">A56+1</f>
        <v>46</v>
      </c>
      <c r="B57" s="235" t="n">
        <f aca="false">B56-F56</f>
        <v>764750</v>
      </c>
      <c r="C57" s="236" t="n">
        <f aca="false">+IF(M57&gt;=0,M57,0)</f>
        <v>5098.33333333333</v>
      </c>
      <c r="D57" s="236" t="n">
        <f aca="false">+IF(N57&gt;=0,N57,0)</f>
        <v>866.716666666666</v>
      </c>
      <c r="E57" s="236" t="n">
        <f aca="false">+C57+D57</f>
        <v>5965.05</v>
      </c>
      <c r="F57" s="236" t="n">
        <f aca="false">+IF(C57&gt;1,J57,0)</f>
        <v>50983.3333333333</v>
      </c>
      <c r="G57" s="236" t="n">
        <f aca="false">+IF(E57&gt;1,L57,0)</f>
        <v>56948.3833333333</v>
      </c>
      <c r="H57" s="236" t="n">
        <f aca="false">IF(F57&lt;=0,0,$L$74)</f>
        <v>64305.2783333333</v>
      </c>
      <c r="I57" s="168"/>
      <c r="J57" s="206" t="n">
        <f aca="false">+G57-E57</f>
        <v>50983.3333333333</v>
      </c>
      <c r="L57" s="237" t="n">
        <f aca="false">IF($C$6&gt;=46,E57,($C$1/$C$8)+E57)</f>
        <v>56948.3833333333</v>
      </c>
      <c r="M57" s="237" t="n">
        <f aca="false">B57*E$2</f>
        <v>5098.33333333333</v>
      </c>
      <c r="N57" s="237" t="n">
        <f aca="false">M57*C$3</f>
        <v>866.716666666666</v>
      </c>
    </row>
    <row r="58" customFormat="false" ht="15" hidden="false" customHeight="false" outlineLevel="0" collapsed="false">
      <c r="A58" s="235" t="n">
        <f aca="false">A57+1</f>
        <v>47</v>
      </c>
      <c r="B58" s="235" t="n">
        <f aca="false">B57-F57</f>
        <v>713766.666666666</v>
      </c>
      <c r="C58" s="236" t="n">
        <f aca="false">+IF(M58&gt;=0,M58,0)</f>
        <v>4758.44444444444</v>
      </c>
      <c r="D58" s="236" t="n">
        <f aca="false">+IF(N58&gt;=0,N58,0)</f>
        <v>808.935555555555</v>
      </c>
      <c r="E58" s="236" t="n">
        <f aca="false">+C58+D58</f>
        <v>5567.38</v>
      </c>
      <c r="F58" s="236" t="n">
        <f aca="false">+IF(C58&gt;1,J58,0)</f>
        <v>50983.3333333333</v>
      </c>
      <c r="G58" s="236" t="n">
        <f aca="false">+IF(E58&gt;1,L58,0)</f>
        <v>56550.7133333333</v>
      </c>
      <c r="H58" s="236" t="n">
        <f aca="false">IF(F58&lt;=0,0,$L$74)</f>
        <v>64305.2783333333</v>
      </c>
      <c r="I58" s="168"/>
      <c r="J58" s="206" t="n">
        <f aca="false">+G58-E58</f>
        <v>50983.3333333333</v>
      </c>
      <c r="L58" s="237" t="n">
        <f aca="false">IF($C$6&gt;=47,E58,($C$1/$C$8)+E58)</f>
        <v>56550.7133333333</v>
      </c>
      <c r="M58" s="237" t="n">
        <f aca="false">B58*E$2</f>
        <v>4758.44444444444</v>
      </c>
      <c r="N58" s="237" t="n">
        <f aca="false">M58*C$3</f>
        <v>808.935555555555</v>
      </c>
    </row>
    <row r="59" customFormat="false" ht="15" hidden="false" customHeight="false" outlineLevel="0" collapsed="false">
      <c r="A59" s="235" t="n">
        <f aca="false">A58+1</f>
        <v>48</v>
      </c>
      <c r="B59" s="235" t="n">
        <f aca="false">B58-F58</f>
        <v>662783.333333333</v>
      </c>
      <c r="C59" s="236" t="n">
        <f aca="false">+IF(M59&gt;=0,M59,0)</f>
        <v>4418.55555555555</v>
      </c>
      <c r="D59" s="236" t="n">
        <f aca="false">+IF(N59&gt;=0,N59,0)</f>
        <v>751.154444444444</v>
      </c>
      <c r="E59" s="236" t="n">
        <f aca="false">+C59+D59</f>
        <v>5169.71</v>
      </c>
      <c r="F59" s="236" t="n">
        <f aca="false">+IF(C59&gt;1,J59,0)</f>
        <v>50983.3333333333</v>
      </c>
      <c r="G59" s="236" t="n">
        <f aca="false">+IF(E59&gt;1,L59,0)</f>
        <v>56153.0433333333</v>
      </c>
      <c r="H59" s="236" t="n">
        <f aca="false">IF(F59&lt;=0,0,$L$74)</f>
        <v>64305.2783333333</v>
      </c>
      <c r="I59" s="168"/>
      <c r="J59" s="206" t="n">
        <f aca="false">+G59-E59</f>
        <v>50983.3333333333</v>
      </c>
      <c r="L59" s="237" t="n">
        <f aca="false">IF($C$6&gt;=48,E59,($C$1/$C$8)+E59)</f>
        <v>56153.0433333333</v>
      </c>
      <c r="M59" s="237" t="n">
        <f aca="false">B59*E$2</f>
        <v>4418.55555555555</v>
      </c>
      <c r="N59" s="237" t="n">
        <f aca="false">M59*C$3</f>
        <v>751.154444444444</v>
      </c>
    </row>
    <row r="60" customFormat="false" ht="15" hidden="false" customHeight="false" outlineLevel="0" collapsed="false">
      <c r="A60" s="235" t="n">
        <f aca="false">A59+1</f>
        <v>49</v>
      </c>
      <c r="B60" s="235" t="n">
        <f aca="false">B59-F59</f>
        <v>611799.999999999</v>
      </c>
      <c r="C60" s="236" t="n">
        <f aca="false">+IF(M60&gt;=0,M60,0)</f>
        <v>4078.66666666666</v>
      </c>
      <c r="D60" s="236" t="n">
        <f aca="false">+IF(N60&gt;=0,N60,0)</f>
        <v>693.373333333333</v>
      </c>
      <c r="E60" s="236" t="n">
        <f aca="false">+C60+D60</f>
        <v>4772.04</v>
      </c>
      <c r="F60" s="236" t="n">
        <f aca="false">+IF(C60&gt;1,J60,0)</f>
        <v>50983.3333333333</v>
      </c>
      <c r="G60" s="236" t="n">
        <f aca="false">+IF(E60&gt;1,L60,0)</f>
        <v>55755.3733333333</v>
      </c>
      <c r="H60" s="236" t="n">
        <f aca="false">IF(F60&lt;=0,0,$L$74)</f>
        <v>64305.2783333333</v>
      </c>
      <c r="I60" s="168"/>
      <c r="J60" s="206" t="n">
        <f aca="false">+G60-E60</f>
        <v>50983.3333333333</v>
      </c>
      <c r="L60" s="237" t="n">
        <f aca="false">IF($C$6&gt;=49,E60,($C$1/$C$8)+E60)</f>
        <v>55755.3733333333</v>
      </c>
      <c r="M60" s="237" t="n">
        <f aca="false">B60*E$2</f>
        <v>4078.66666666666</v>
      </c>
      <c r="N60" s="237" t="n">
        <f aca="false">M60*C$3</f>
        <v>693.373333333333</v>
      </c>
    </row>
    <row r="61" customFormat="false" ht="15" hidden="false" customHeight="false" outlineLevel="0" collapsed="false">
      <c r="A61" s="235" t="n">
        <f aca="false">A60+1</f>
        <v>50</v>
      </c>
      <c r="B61" s="235" t="n">
        <f aca="false">B60-F60</f>
        <v>560816.666666666</v>
      </c>
      <c r="C61" s="236" t="n">
        <f aca="false">+IF(M61&gt;=0,M61,0)</f>
        <v>3738.77777777777</v>
      </c>
      <c r="D61" s="236" t="n">
        <f aca="false">+IF(N61&gt;=0,N61,0)</f>
        <v>635.592222222222</v>
      </c>
      <c r="E61" s="236" t="n">
        <f aca="false">+C61+D61</f>
        <v>4374.37</v>
      </c>
      <c r="F61" s="236" t="n">
        <f aca="false">+IF(C61&gt;1,J61,0)</f>
        <v>50983.3333333333</v>
      </c>
      <c r="G61" s="236" t="n">
        <f aca="false">+IF(E61&gt;1,L61,0)</f>
        <v>55357.7033333333</v>
      </c>
      <c r="H61" s="236" t="n">
        <f aca="false">IF(F61&lt;=0,0,$L$74)</f>
        <v>64305.2783333333</v>
      </c>
      <c r="I61" s="168"/>
      <c r="J61" s="206" t="n">
        <f aca="false">+G61-E61</f>
        <v>50983.3333333333</v>
      </c>
      <c r="L61" s="237" t="n">
        <f aca="false">IF($C$6&gt;=50,E61,($C$1/$C$8)+E61)</f>
        <v>55357.7033333333</v>
      </c>
      <c r="M61" s="237" t="n">
        <f aca="false">B61*E$2</f>
        <v>3738.77777777777</v>
      </c>
      <c r="N61" s="237" t="n">
        <f aca="false">M61*C$3</f>
        <v>635.592222222222</v>
      </c>
    </row>
    <row r="62" customFormat="false" ht="15" hidden="false" customHeight="false" outlineLevel="0" collapsed="false">
      <c r="A62" s="235" t="n">
        <f aca="false">A61+1</f>
        <v>51</v>
      </c>
      <c r="B62" s="235" t="n">
        <f aca="false">B61-F61</f>
        <v>509833.333333333</v>
      </c>
      <c r="C62" s="236" t="n">
        <f aca="false">+IF(M62&gt;=0,M62,0)</f>
        <v>3398.88888888889</v>
      </c>
      <c r="D62" s="236" t="n">
        <f aca="false">+IF(N62&gt;=0,N62,0)</f>
        <v>577.81111111111</v>
      </c>
      <c r="E62" s="236" t="n">
        <f aca="false">+C62+D62</f>
        <v>3976.7</v>
      </c>
      <c r="F62" s="236" t="n">
        <f aca="false">+IF(C62&gt;1,J62,0)</f>
        <v>50983.3333333333</v>
      </c>
      <c r="G62" s="236" t="n">
        <f aca="false">+IF(E62&gt;1,L62,0)</f>
        <v>54960.0333333333</v>
      </c>
      <c r="H62" s="236" t="n">
        <f aca="false">IF(F62&lt;=0,0,$L$74)</f>
        <v>64305.2783333333</v>
      </c>
      <c r="I62" s="168"/>
      <c r="J62" s="206" t="n">
        <f aca="false">+G62-E62</f>
        <v>50983.3333333333</v>
      </c>
      <c r="L62" s="237" t="n">
        <f aca="false">IF($C$6&gt;=51,E62,($C$1/$C$8)+E62)</f>
        <v>54960.0333333333</v>
      </c>
      <c r="M62" s="237" t="n">
        <f aca="false">B62*E$2</f>
        <v>3398.88888888889</v>
      </c>
      <c r="N62" s="237" t="n">
        <f aca="false">M62*C$3</f>
        <v>577.81111111111</v>
      </c>
    </row>
    <row r="63" customFormat="false" ht="15" hidden="false" customHeight="false" outlineLevel="0" collapsed="false">
      <c r="A63" s="235" t="n">
        <f aca="false">A62+1</f>
        <v>52</v>
      </c>
      <c r="B63" s="235" t="n">
        <f aca="false">B62-F62</f>
        <v>458849.999999999</v>
      </c>
      <c r="C63" s="236" t="n">
        <f aca="false">+IF(M63&gt;=0,M63,0)</f>
        <v>3059</v>
      </c>
      <c r="D63" s="236" t="n">
        <f aca="false">+IF(N63&gt;=0,N63,0)</f>
        <v>520.029999999999</v>
      </c>
      <c r="E63" s="236" t="n">
        <f aca="false">+C63+D63</f>
        <v>3579.03</v>
      </c>
      <c r="F63" s="236" t="n">
        <f aca="false">+IF(C63&gt;1,J63,0)</f>
        <v>50983.3333333333</v>
      </c>
      <c r="G63" s="236" t="n">
        <f aca="false">+IF(E63&gt;1,L63,0)</f>
        <v>54562.3633333333</v>
      </c>
      <c r="H63" s="236" t="n">
        <f aca="false">IF(F63&lt;=0,0,$L$74)</f>
        <v>64305.2783333333</v>
      </c>
      <c r="I63" s="168"/>
      <c r="J63" s="206" t="n">
        <f aca="false">+G63-E63</f>
        <v>50983.3333333333</v>
      </c>
      <c r="L63" s="237" t="n">
        <f aca="false">IF($C$6&gt;=52,E63,($C$1/$C$8)+E63)</f>
        <v>54562.3633333333</v>
      </c>
      <c r="M63" s="237" t="n">
        <f aca="false">B63*E$2</f>
        <v>3059</v>
      </c>
      <c r="N63" s="237" t="n">
        <f aca="false">M63*C$3</f>
        <v>520.029999999999</v>
      </c>
    </row>
    <row r="64" customFormat="false" ht="15" hidden="false" customHeight="false" outlineLevel="0" collapsed="false">
      <c r="A64" s="235" t="n">
        <f aca="false">A63+1</f>
        <v>53</v>
      </c>
      <c r="B64" s="235" t="n">
        <f aca="false">B63-F63</f>
        <v>407866.666666666</v>
      </c>
      <c r="C64" s="236" t="n">
        <f aca="false">+IF(M64&gt;=0,M64,0)</f>
        <v>2719.11111111111</v>
      </c>
      <c r="D64" s="236" t="n">
        <f aca="false">+IF(N64&gt;=0,N64,0)</f>
        <v>462.248888888888</v>
      </c>
      <c r="E64" s="236" t="n">
        <f aca="false">+C64+D64</f>
        <v>3181.36</v>
      </c>
      <c r="F64" s="236" t="n">
        <f aca="false">+IF(C64&gt;1,J64,0)</f>
        <v>50983.3333333333</v>
      </c>
      <c r="G64" s="236" t="n">
        <f aca="false">+IF(E64&gt;1,L64,0)</f>
        <v>54164.6933333333</v>
      </c>
      <c r="H64" s="236" t="n">
        <f aca="false">IF(F64&lt;=0,0,$L$74)</f>
        <v>64305.2783333333</v>
      </c>
      <c r="I64" s="168"/>
      <c r="J64" s="206" t="n">
        <f aca="false">+G64-E64</f>
        <v>50983.3333333333</v>
      </c>
      <c r="L64" s="237" t="n">
        <f aca="false">IF($C$6&gt;=53,E64,($C$1/$C$8)+E64)</f>
        <v>54164.6933333333</v>
      </c>
      <c r="M64" s="237" t="n">
        <f aca="false">B64*E$2</f>
        <v>2719.11111111111</v>
      </c>
      <c r="N64" s="237" t="n">
        <f aca="false">M64*C$3</f>
        <v>462.248888888888</v>
      </c>
    </row>
    <row r="65" customFormat="false" ht="15" hidden="false" customHeight="false" outlineLevel="0" collapsed="false">
      <c r="A65" s="235" t="n">
        <f aca="false">A64+1</f>
        <v>54</v>
      </c>
      <c r="B65" s="235" t="n">
        <f aca="false">B64-F64</f>
        <v>356883.333333333</v>
      </c>
      <c r="C65" s="236" t="n">
        <f aca="false">+IF(M65&gt;=0,M65,0)</f>
        <v>2379.22222222222</v>
      </c>
      <c r="D65" s="236" t="n">
        <f aca="false">+IF(N65&gt;=0,N65,0)</f>
        <v>404.467777777777</v>
      </c>
      <c r="E65" s="236" t="n">
        <f aca="false">+C65+D65</f>
        <v>2783.69</v>
      </c>
      <c r="F65" s="236" t="n">
        <f aca="false">+IF(C65&gt;1,J65,0)</f>
        <v>50983.3333333333</v>
      </c>
      <c r="G65" s="236" t="n">
        <f aca="false">+IF(E65&gt;1,L65,0)</f>
        <v>53767.0233333333</v>
      </c>
      <c r="H65" s="236" t="n">
        <f aca="false">IF(F65&lt;=0,0,$L$74)</f>
        <v>64305.2783333333</v>
      </c>
      <c r="I65" s="168"/>
      <c r="J65" s="206" t="n">
        <f aca="false">+G65-E65</f>
        <v>50983.3333333333</v>
      </c>
      <c r="L65" s="237" t="n">
        <f aca="false">IF($C$6&gt;=54,E65,($C$1/$C$8)+E65)</f>
        <v>53767.0233333333</v>
      </c>
      <c r="M65" s="237" t="n">
        <f aca="false">B65*E$2</f>
        <v>2379.22222222222</v>
      </c>
      <c r="N65" s="237" t="n">
        <f aca="false">M65*C$3</f>
        <v>404.467777777777</v>
      </c>
    </row>
    <row r="66" customFormat="false" ht="15" hidden="false" customHeight="false" outlineLevel="0" collapsed="false">
      <c r="A66" s="235" t="n">
        <f aca="false">A65+1</f>
        <v>55</v>
      </c>
      <c r="B66" s="235" t="n">
        <f aca="false">B65-F65</f>
        <v>305900</v>
      </c>
      <c r="C66" s="236" t="n">
        <f aca="false">+IF(M66&gt;=0,M66,0)</f>
        <v>2039.33333333333</v>
      </c>
      <c r="D66" s="236" t="n">
        <f aca="false">+IF(N66&gt;=0,N66,0)</f>
        <v>346.686666666666</v>
      </c>
      <c r="E66" s="236" t="n">
        <f aca="false">+C66+D66</f>
        <v>2386.02</v>
      </c>
      <c r="F66" s="236" t="n">
        <f aca="false">+IF(C66&gt;1,J66,0)</f>
        <v>50983.3333333333</v>
      </c>
      <c r="G66" s="236" t="n">
        <f aca="false">+IF(E66&gt;1,L66,0)</f>
        <v>53369.3533333333</v>
      </c>
      <c r="H66" s="236" t="n">
        <f aca="false">IF(F66&lt;=0,0,$L$74)</f>
        <v>64305.2783333333</v>
      </c>
      <c r="I66" s="168"/>
      <c r="J66" s="206" t="n">
        <f aca="false">+G66-E66</f>
        <v>50983.3333333333</v>
      </c>
      <c r="L66" s="237" t="n">
        <f aca="false">IF($C$6&gt;=55,E66,($C$1/$C$8)+E66)</f>
        <v>53369.3533333333</v>
      </c>
      <c r="M66" s="237" t="n">
        <f aca="false">B66*E$2</f>
        <v>2039.33333333333</v>
      </c>
      <c r="N66" s="237" t="n">
        <f aca="false">M66*C$3</f>
        <v>346.686666666666</v>
      </c>
    </row>
    <row r="67" customFormat="false" ht="15" hidden="false" customHeight="false" outlineLevel="0" collapsed="false">
      <c r="A67" s="235" t="n">
        <f aca="false">A66+1</f>
        <v>56</v>
      </c>
      <c r="B67" s="235" t="n">
        <f aca="false">B66-F66</f>
        <v>254916.666666666</v>
      </c>
      <c r="C67" s="236" t="n">
        <f aca="false">+IF(M67&gt;=0,M67,0)</f>
        <v>1699.44444444444</v>
      </c>
      <c r="D67" s="236" t="n">
        <f aca="false">+IF(N67&gt;=0,N67,0)</f>
        <v>288.905555555555</v>
      </c>
      <c r="E67" s="236" t="n">
        <f aca="false">+C67+D67</f>
        <v>1988.35</v>
      </c>
      <c r="F67" s="236" t="n">
        <f aca="false">+IF(C67&gt;1,J67,0)</f>
        <v>50983.3333333333</v>
      </c>
      <c r="G67" s="236" t="n">
        <f aca="false">+IF(E67&gt;1,L67,0)</f>
        <v>52971.6833333333</v>
      </c>
      <c r="H67" s="236" t="n">
        <f aca="false">IF(F67&lt;=0,0,$L$74)</f>
        <v>64305.2783333333</v>
      </c>
      <c r="I67" s="168"/>
      <c r="J67" s="206" t="n">
        <f aca="false">+G67-E67</f>
        <v>50983.3333333333</v>
      </c>
      <c r="L67" s="237" t="n">
        <f aca="false">IF($C$6&gt;=56,E67,($C$1/$C$8)+E67)</f>
        <v>52971.6833333333</v>
      </c>
      <c r="M67" s="237" t="n">
        <f aca="false">B67*E$2</f>
        <v>1699.44444444444</v>
      </c>
      <c r="N67" s="237" t="n">
        <f aca="false">M67*C$3</f>
        <v>288.905555555555</v>
      </c>
    </row>
    <row r="68" customFormat="false" ht="15" hidden="false" customHeight="false" outlineLevel="0" collapsed="false">
      <c r="A68" s="235" t="n">
        <f aca="false">A67+1</f>
        <v>57</v>
      </c>
      <c r="B68" s="235" t="n">
        <f aca="false">B67-F67</f>
        <v>203933.333333333</v>
      </c>
      <c r="C68" s="236" t="n">
        <f aca="false">+IF(M68&gt;=0,M68,0)</f>
        <v>1359.55555555555</v>
      </c>
      <c r="D68" s="236" t="n">
        <f aca="false">+IF(N68&gt;=0,N68,0)</f>
        <v>231.124444444444</v>
      </c>
      <c r="E68" s="236" t="n">
        <f aca="false">+C68+D68</f>
        <v>1590.68</v>
      </c>
      <c r="F68" s="236" t="n">
        <f aca="false">+IF(C68&gt;1,J68,0)</f>
        <v>50983.3333333333</v>
      </c>
      <c r="G68" s="236" t="n">
        <f aca="false">+IF(E68&gt;1,L68,0)</f>
        <v>52574.0133333333</v>
      </c>
      <c r="H68" s="236" t="n">
        <f aca="false">IF(F68&lt;=0,0,$L$74)</f>
        <v>64305.2783333333</v>
      </c>
      <c r="I68" s="168"/>
      <c r="J68" s="206" t="n">
        <f aca="false">+G68-E68</f>
        <v>50983.3333333333</v>
      </c>
      <c r="L68" s="237" t="n">
        <f aca="false">IF($C$6&gt;=57,E68,($C$1/$C$8)+E68)</f>
        <v>52574.0133333333</v>
      </c>
      <c r="M68" s="237" t="n">
        <f aca="false">B68*E$2</f>
        <v>1359.55555555555</v>
      </c>
      <c r="N68" s="237" t="n">
        <f aca="false">M68*C$3</f>
        <v>231.124444444444</v>
      </c>
    </row>
    <row r="69" customFormat="false" ht="15" hidden="false" customHeight="false" outlineLevel="0" collapsed="false">
      <c r="A69" s="235" t="n">
        <f aca="false">A68+1</f>
        <v>58</v>
      </c>
      <c r="B69" s="235" t="n">
        <f aca="false">B68-F68</f>
        <v>152949.999999999</v>
      </c>
      <c r="C69" s="236" t="n">
        <f aca="false">+IF(M69&gt;=0,M69,0)</f>
        <v>1019.66666666666</v>
      </c>
      <c r="D69" s="236" t="n">
        <f aca="false">+IF(N69&gt;=0,N69,0)</f>
        <v>173.343333333333</v>
      </c>
      <c r="E69" s="236" t="n">
        <f aca="false">+C69+D69</f>
        <v>1193.01</v>
      </c>
      <c r="F69" s="236" t="n">
        <f aca="false">+IF(C69&gt;1,J69,0)</f>
        <v>50983.3333333333</v>
      </c>
      <c r="G69" s="236" t="n">
        <f aca="false">+IF(E69&gt;1,L69,0)</f>
        <v>52176.3433333333</v>
      </c>
      <c r="H69" s="236" t="n">
        <f aca="false">IF(F69&lt;=0,0,$L$74)</f>
        <v>64305.2783333333</v>
      </c>
      <c r="I69" s="168"/>
      <c r="J69" s="206" t="n">
        <f aca="false">+G69-E69</f>
        <v>50983.3333333333</v>
      </c>
      <c r="L69" s="237" t="n">
        <f aca="false">IF($C$6&gt;=58,E69,($C$1/$C$8)+E69)</f>
        <v>52176.3433333333</v>
      </c>
      <c r="M69" s="237" t="n">
        <f aca="false">B69*E$2</f>
        <v>1019.66666666666</v>
      </c>
      <c r="N69" s="237" t="n">
        <f aca="false">M69*C$3</f>
        <v>173.343333333333</v>
      </c>
    </row>
    <row r="70" customFormat="false" ht="15" hidden="false" customHeight="false" outlineLevel="0" collapsed="false">
      <c r="A70" s="235" t="n">
        <f aca="false">A69+1</f>
        <v>59</v>
      </c>
      <c r="B70" s="235" t="n">
        <f aca="false">B69-F69</f>
        <v>101966.666666666</v>
      </c>
      <c r="C70" s="236" t="n">
        <f aca="false">+IF(M70&gt;=0,M70,0)</f>
        <v>679.777777777774</v>
      </c>
      <c r="D70" s="236" t="n">
        <f aca="false">+IF(N70&gt;=0,N70,0)</f>
        <v>115.562222222222</v>
      </c>
      <c r="E70" s="236" t="n">
        <f aca="false">+C70+D70</f>
        <v>795.339999999996</v>
      </c>
      <c r="F70" s="236" t="n">
        <f aca="false">+IF(C70&gt;1,J70,0)</f>
        <v>50983.3333333333</v>
      </c>
      <c r="G70" s="236" t="n">
        <f aca="false">+IF(E70&gt;1,L70,0)</f>
        <v>51778.6733333333</v>
      </c>
      <c r="H70" s="236" t="n">
        <f aca="false">IF(F70&lt;=0,0,$L$74)</f>
        <v>64305.2783333333</v>
      </c>
      <c r="I70" s="168"/>
      <c r="J70" s="206" t="n">
        <f aca="false">+G70-E70</f>
        <v>50983.3333333333</v>
      </c>
      <c r="L70" s="237" t="n">
        <f aca="false">IF($C$6&gt;=59,E70,($C$1/$C$8)+E70)</f>
        <v>51778.6733333333</v>
      </c>
      <c r="M70" s="237" t="n">
        <f aca="false">B70*E$2</f>
        <v>679.777777777774</v>
      </c>
      <c r="N70" s="237" t="n">
        <f aca="false">M70*C$3</f>
        <v>115.562222222222</v>
      </c>
    </row>
    <row r="71" customFormat="false" ht="15" hidden="false" customHeight="false" outlineLevel="0" collapsed="false">
      <c r="A71" s="235" t="n">
        <f aca="false">A70+1</f>
        <v>60</v>
      </c>
      <c r="B71" s="235" t="n">
        <f aca="false">B70-F70</f>
        <v>50983.3333333328</v>
      </c>
      <c r="C71" s="236" t="n">
        <f aca="false">+IF(M71&gt;=0,M71,0)</f>
        <v>339.888888888885</v>
      </c>
      <c r="D71" s="236" t="n">
        <f aca="false">+IF(N71&gt;=0,N71,0)</f>
        <v>57.7811111111105</v>
      </c>
      <c r="E71" s="236" t="n">
        <f aca="false">+C71+D71</f>
        <v>397.669999999996</v>
      </c>
      <c r="F71" s="236" t="n">
        <f aca="false">+IF(C71&gt;1,J71,0)</f>
        <v>50983.3333333333</v>
      </c>
      <c r="G71" s="236" t="n">
        <f aca="false">+IF(E71&gt;1,L71,0)</f>
        <v>51381.0033333333</v>
      </c>
      <c r="H71" s="236" t="n">
        <f aca="false">IF(F71&lt;=0,0,$L$74)</f>
        <v>64305.2783333333</v>
      </c>
      <c r="I71" s="168"/>
      <c r="J71" s="206" t="n">
        <f aca="false">+G71-E71</f>
        <v>50983.3333333333</v>
      </c>
      <c r="L71" s="237" t="n">
        <f aca="false">IF($C$6&gt;=60,E71,($C$1/$C$8)+E71)</f>
        <v>51381.0033333333</v>
      </c>
      <c r="M71" s="237" t="n">
        <f aca="false">B71*E$2</f>
        <v>339.888888888885</v>
      </c>
      <c r="N71" s="237" t="n">
        <f aca="false">M71*C$3</f>
        <v>57.7811111111105</v>
      </c>
    </row>
    <row r="72" customFormat="false" ht="15" hidden="false" customHeight="false" outlineLevel="0" collapsed="false">
      <c r="A72" s="238" t="s">
        <v>114</v>
      </c>
      <c r="B72" s="239"/>
      <c r="C72" s="239"/>
      <c r="D72" s="238"/>
      <c r="E72" s="238" t="n">
        <f aca="false">SUM(E12:E71)</f>
        <v>719385.03</v>
      </c>
      <c r="F72" s="238" t="n">
        <f aca="false">SUM(F12:F71)</f>
        <v>2753100</v>
      </c>
      <c r="G72" s="238" t="n">
        <f aca="false">SUM(G12:G71)</f>
        <v>3472485.03</v>
      </c>
      <c r="H72" s="238" t="n">
        <f aca="false">SUM(H12:H71)</f>
        <v>3472485.03</v>
      </c>
      <c r="I72" s="168"/>
      <c r="L72" s="240" t="n">
        <f aca="false">SUM(L12:L71)</f>
        <v>3472485.03</v>
      </c>
      <c r="M72" s="240" t="n">
        <f aca="false">SUM(M12:M71)</f>
        <v>614859</v>
      </c>
      <c r="N72" s="240" t="n">
        <f aca="false">SUM(N12:N71)</f>
        <v>104526.03</v>
      </c>
    </row>
    <row r="74" customFormat="false" ht="14.25" hidden="false" customHeight="false" outlineLevel="0" collapsed="false">
      <c r="L74" s="206" t="n">
        <f aca="false">+G72/C8</f>
        <v>64305.2783333333</v>
      </c>
    </row>
  </sheetData>
  <sheetProtection algorithmName="SHA-512" hashValue="qW2cAlbBV9Jx91mul0VtJNAQ+9L2npC3VLfD08Wwvf59Ylk/BUHgSdXsYiWtoPFOjAocJk2e5vx6ufEMK/7nTA==" saltValue="kEyN3NMLe5p7OTRbFo2WJA==" spinCount="100000" sheet="true" objects="true" scenarios="true"/>
  <mergeCells count="15">
    <mergeCell ref="A1:B1"/>
    <mergeCell ref="A2:B2"/>
    <mergeCell ref="A3:B3"/>
    <mergeCell ref="A4:B4"/>
    <mergeCell ref="A5:B5"/>
    <mergeCell ref="A6:B6"/>
    <mergeCell ref="A7:B7"/>
    <mergeCell ref="A8:B8"/>
    <mergeCell ref="A10:A11"/>
    <mergeCell ref="B10:B11"/>
    <mergeCell ref="C10:C11"/>
    <mergeCell ref="D10:D11"/>
    <mergeCell ref="E10:E11"/>
    <mergeCell ref="M10:M11"/>
    <mergeCell ref="N10:N11"/>
  </mergeCells>
  <conditionalFormatting sqref="B12:H47">
    <cfRule type="cellIs" priority="2" operator="between" aboveAverage="0" equalAverage="0" bottom="0" percent="0" rank="0" text="" dxfId="1">
      <formula>0</formula>
      <formula>0</formula>
    </cfRule>
  </conditionalFormatting>
  <dataValidations count="4">
    <dataValidation allowBlank="true" error="Saisir une option dans la liste" errorStyle="stop" errorTitle="Saisie non conforme" operator="between" showDropDown="false" showErrorMessage="true" showInputMessage="true" sqref="F4:H4 L4 D5" type="none">
      <formula1>0</formula1>
      <formula2>0</formula2>
    </dataValidation>
    <dataValidation allowBlank="true" error="Saisir une option dans la liste" errorStyle="stop" errorTitle="Saisie non conforme" operator="between" showDropDown="false" showErrorMessage="true" showInputMessage="true" sqref="F2:H2 L2 D3:D4 C5" type="list">
      <formula1>"par mois,par trimestre,par semestre,par an"</formula1>
      <formula2>0</formula2>
    </dataValidation>
    <dataValidation allowBlank="true" error="Saisir une option dans la liste" errorStyle="stop" errorTitle="Saisie non conforme" operator="between" showDropDown="false" showErrorMessage="true" showInputMessage="true" sqref="D2" type="list">
      <formula1>"par mois soit,par trimestre soit,par semestre soit,par an soit"</formula1>
      <formula2>0</formula2>
    </dataValidation>
    <dataValidation allowBlank="true" errorStyle="stop" operator="between" showDropDown="false" showErrorMessage="true" showInputMessage="true" sqref="D6:D7" type="list">
      <formula1>"mois,ans"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4"/>
  <sheetViews>
    <sheetView showFormulas="false" showGridLines="true" showRowColHeaders="true" showZeros="true" rightToLeft="false" tabSelected="false" showOutlineSymbols="true" defaultGridColor="true" view="normal" topLeftCell="A17" colorId="64" zoomScale="100" zoomScaleNormal="100" zoomScalePageLayoutView="100" workbookViewId="0">
      <selection pane="topLeft" activeCell="A2" activeCellId="0" sqref="A2"/>
    </sheetView>
  </sheetViews>
  <sheetFormatPr defaultColWidth="11.453125" defaultRowHeight="13.5" zeroHeight="false" outlineLevelRow="0" outlineLevelCol="0"/>
  <cols>
    <col collapsed="false" customWidth="true" hidden="false" outlineLevel="0" max="1" min="1" style="166" width="43"/>
    <col collapsed="false" customWidth="true" hidden="false" outlineLevel="0" max="2" min="2" style="241" width="14.54"/>
    <col collapsed="false" customWidth="true" hidden="false" outlineLevel="0" max="6" min="3" style="241" width="14.82"/>
    <col collapsed="false" customWidth="true" hidden="false" outlineLevel="0" max="7" min="7" style="166" width="4"/>
    <col collapsed="false" customWidth="false" hidden="false" outlineLevel="0" max="16384" min="8" style="166" width="11.45"/>
  </cols>
  <sheetData>
    <row r="1" customFormat="false" ht="14.25" hidden="false" customHeight="true" outlineLevel="0" collapsed="false">
      <c r="A1" s="168"/>
      <c r="B1" s="242"/>
      <c r="C1" s="242"/>
      <c r="D1" s="242"/>
      <c r="E1" s="242"/>
      <c r="F1" s="242"/>
      <c r="G1" s="168"/>
    </row>
    <row r="2" customFormat="false" ht="20.25" hidden="false" customHeight="true" outlineLevel="0" collapsed="false">
      <c r="A2" s="243" t="s">
        <v>253</v>
      </c>
      <c r="B2" s="244"/>
      <c r="C2" s="244"/>
      <c r="D2" s="244"/>
      <c r="E2" s="244"/>
      <c r="F2" s="245"/>
      <c r="G2" s="168"/>
    </row>
    <row r="3" customFormat="false" ht="14.25" hidden="false" customHeight="true" outlineLevel="0" collapsed="false">
      <c r="A3" s="171"/>
      <c r="B3" s="246"/>
      <c r="C3" s="246"/>
      <c r="D3" s="246"/>
      <c r="E3" s="246"/>
      <c r="F3" s="246"/>
      <c r="G3" s="168"/>
    </row>
    <row r="4" s="249" customFormat="true" ht="18" hidden="false" customHeight="true" outlineLevel="0" collapsed="false">
      <c r="A4" s="247" t="s">
        <v>209</v>
      </c>
      <c r="B4" s="76" t="s">
        <v>210</v>
      </c>
      <c r="C4" s="76" t="s">
        <v>211</v>
      </c>
      <c r="D4" s="76" t="s">
        <v>212</v>
      </c>
      <c r="E4" s="76" t="s">
        <v>213</v>
      </c>
      <c r="F4" s="76" t="s">
        <v>214</v>
      </c>
      <c r="G4" s="248"/>
    </row>
    <row r="5" customFormat="false" ht="15.75" hidden="false" customHeight="true" outlineLevel="0" collapsed="false">
      <c r="A5" s="176" t="s">
        <v>207</v>
      </c>
      <c r="B5" s="250"/>
      <c r="C5" s="250"/>
      <c r="D5" s="250"/>
      <c r="E5" s="250"/>
      <c r="F5" s="250"/>
      <c r="G5" s="168"/>
    </row>
    <row r="6" customFormat="false" ht="14.25" hidden="false" customHeight="true" outlineLevel="0" collapsed="false">
      <c r="A6" s="181" t="s">
        <v>215</v>
      </c>
      <c r="B6" s="251" t="n">
        <f aca="false">'Eléments du compte d''exploitati'!B12</f>
        <v>7600000</v>
      </c>
      <c r="C6" s="251" t="n">
        <f aca="false">'Eléments du compte d''exploitati'!C12</f>
        <v>7752000</v>
      </c>
      <c r="D6" s="251" t="n">
        <f aca="false">'Eléments du compte d''exploitati'!D12</f>
        <v>7907040</v>
      </c>
      <c r="E6" s="251" t="n">
        <f aca="false">'Eléments du compte d''exploitati'!E12</f>
        <v>8065180.8</v>
      </c>
      <c r="F6" s="251" t="n">
        <f aca="false">'Eléments du compte d''exploitati'!F12</f>
        <v>8226484.416</v>
      </c>
      <c r="G6" s="168"/>
    </row>
    <row r="7" customFormat="false" ht="18" hidden="false" customHeight="true" outlineLevel="0" collapsed="false">
      <c r="A7" s="252"/>
      <c r="B7" s="253"/>
      <c r="C7" s="253"/>
      <c r="D7" s="253"/>
      <c r="E7" s="253"/>
      <c r="F7" s="253"/>
      <c r="G7" s="168"/>
    </row>
    <row r="8" customFormat="false" ht="15.75" hidden="false" customHeight="true" outlineLevel="0" collapsed="false">
      <c r="A8" s="176" t="s">
        <v>216</v>
      </c>
      <c r="B8" s="250"/>
      <c r="C8" s="250"/>
      <c r="D8" s="250"/>
      <c r="E8" s="250"/>
      <c r="F8" s="250"/>
      <c r="G8" s="168"/>
    </row>
    <row r="9" customFormat="false" ht="14.25" hidden="false" customHeight="true" outlineLevel="0" collapsed="false">
      <c r="A9" s="195" t="s">
        <v>254</v>
      </c>
      <c r="B9" s="254" t="n">
        <f aca="false">+'Eléments du compte d''exploitati'!B24</f>
        <v>607500</v>
      </c>
      <c r="C9" s="254" t="n">
        <f aca="false">+'Eléments du compte d''exploitati'!C24</f>
        <v>643950</v>
      </c>
      <c r="D9" s="254" t="n">
        <f aca="false">+'Eléments du compte d''exploitati'!D24</f>
        <v>695466</v>
      </c>
      <c r="E9" s="254" t="n">
        <f aca="false">+'Eléments du compte d''exploitati'!E24</f>
        <v>751103.28</v>
      </c>
      <c r="F9" s="254" t="n">
        <f aca="false">+'Eléments du compte d''exploitati'!F24</f>
        <v>811191.5424</v>
      </c>
      <c r="G9" s="168"/>
    </row>
    <row r="10" customFormat="false" ht="14.25" hidden="false" customHeight="true" outlineLevel="0" collapsed="false">
      <c r="A10" s="195" t="s">
        <v>255</v>
      </c>
      <c r="B10" s="254" t="n">
        <f aca="false">+'Eléments du compte d''exploitati'!B30</f>
        <v>825000</v>
      </c>
      <c r="C10" s="254" t="n">
        <f aca="false">+'Eléments du compte d''exploitati'!C30</f>
        <v>866250</v>
      </c>
      <c r="D10" s="254" t="n">
        <f aca="false">+'Eléments du compte d''exploitati'!D30</f>
        <v>866250</v>
      </c>
      <c r="E10" s="254" t="n">
        <f aca="false">+'Eléments du compte d''exploitati'!E30</f>
        <v>866250</v>
      </c>
      <c r="F10" s="254" t="n">
        <f aca="false">+'Eléments du compte d''exploitati'!F30</f>
        <v>866250</v>
      </c>
      <c r="G10" s="168"/>
    </row>
    <row r="11" customFormat="false" ht="28.5" hidden="false" customHeight="true" outlineLevel="0" collapsed="false">
      <c r="A11" s="255" t="s">
        <v>256</v>
      </c>
      <c r="B11" s="254" t="n">
        <f aca="false">+'Eléments du compte d''exploitati'!B49</f>
        <v>300000</v>
      </c>
      <c r="C11" s="254" t="n">
        <f aca="false">+'Eléments du compte d''exploitati'!C49</f>
        <v>315000</v>
      </c>
      <c r="D11" s="254" t="n">
        <f aca="false">+'Eléments du compte d''exploitati'!D49</f>
        <v>315000</v>
      </c>
      <c r="E11" s="254" t="n">
        <f aca="false">+'Eléments du compte d''exploitati'!E49</f>
        <v>315000</v>
      </c>
      <c r="F11" s="254" t="n">
        <f aca="false">+'Eléments du compte d''exploitati'!F49</f>
        <v>315000</v>
      </c>
      <c r="G11" s="168"/>
    </row>
    <row r="12" customFormat="false" ht="14.25" hidden="false" customHeight="true" outlineLevel="0" collapsed="false">
      <c r="A12" s="195" t="s">
        <v>257</v>
      </c>
      <c r="B12" s="254" t="n">
        <f aca="false">+'Eléments du compte d''exploitati'!B62</f>
        <v>0</v>
      </c>
      <c r="C12" s="254" t="n">
        <f aca="false">+'Eléments du compte d''exploitati'!C62</f>
        <v>0</v>
      </c>
      <c r="D12" s="254" t="n">
        <f aca="false">+'Eléments du compte d''exploitati'!D62</f>
        <v>0</v>
      </c>
      <c r="E12" s="254" t="n">
        <f aca="false">+'Eléments du compte d''exploitati'!E62</f>
        <v>0</v>
      </c>
      <c r="F12" s="254" t="n">
        <f aca="false">+'Eléments du compte d''exploitati'!F62</f>
        <v>0</v>
      </c>
      <c r="G12" s="168"/>
    </row>
    <row r="13" customFormat="false" ht="14.25" hidden="false" customHeight="true" outlineLevel="0" collapsed="false">
      <c r="A13" s="195" t="s">
        <v>258</v>
      </c>
      <c r="B13" s="254" t="n">
        <f aca="false">+SUM('Echéancier Prêt'!E12:E23)</f>
        <v>251725.11</v>
      </c>
      <c r="C13" s="254" t="n">
        <f aca="false">+SUM('Echéancier Prêt'!E24:E35)</f>
        <v>202811.7</v>
      </c>
      <c r="D13" s="254" t="n">
        <f aca="false">+SUM('Echéancier Prêt'!E36:E47)</f>
        <v>145547.22</v>
      </c>
      <c r="E13" s="254" t="n">
        <f aca="false">+SUM('Echéancier Prêt'!E48:E59)</f>
        <v>88282.74</v>
      </c>
      <c r="F13" s="254" t="n">
        <f aca="false">+SUM('Echéancier Prêt'!E60:E71)</f>
        <v>31018.2599999999</v>
      </c>
      <c r="G13" s="168"/>
    </row>
    <row r="14" customFormat="false" ht="14.25" hidden="false" customHeight="true" outlineLevel="0" collapsed="false">
      <c r="A14" s="195" t="s">
        <v>259</v>
      </c>
      <c r="B14" s="256" t="n">
        <f aca="false">'Eléments du compte d''exploitati'!D92</f>
        <v>966550</v>
      </c>
      <c r="C14" s="256" t="n">
        <f aca="false">'Eléments du compte d''exploitati'!E92</f>
        <v>416550</v>
      </c>
      <c r="D14" s="256" t="n">
        <f aca="false">'Eléments du compte d''exploitati'!F92</f>
        <v>416550</v>
      </c>
      <c r="E14" s="256" t="n">
        <f aca="false">+C14</f>
        <v>416550</v>
      </c>
      <c r="F14" s="256" t="n">
        <f aca="false">+C14</f>
        <v>416550</v>
      </c>
      <c r="G14" s="168"/>
    </row>
    <row r="15" customFormat="false" ht="14.25" hidden="false" customHeight="true" outlineLevel="0" collapsed="false">
      <c r="A15" s="181" t="s">
        <v>260</v>
      </c>
      <c r="B15" s="251" t="n">
        <f aca="false">SUM(B9:B14)</f>
        <v>2950775.11</v>
      </c>
      <c r="C15" s="251" t="n">
        <f aca="false">SUM(C9:C14)</f>
        <v>2444561.7</v>
      </c>
      <c r="D15" s="251" t="n">
        <f aca="false">SUM(D9:D14)</f>
        <v>2438813.22</v>
      </c>
      <c r="E15" s="251" t="n">
        <f aca="false">SUM(E9:E14)</f>
        <v>2437186.02</v>
      </c>
      <c r="F15" s="251" t="n">
        <f aca="false">SUM(F9:F14)</f>
        <v>2440009.8024</v>
      </c>
      <c r="G15" s="168"/>
    </row>
    <row r="16" customFormat="false" ht="14.25" hidden="false" customHeight="true" outlineLevel="0" collapsed="false">
      <c r="A16" s="195"/>
      <c r="B16" s="257"/>
      <c r="C16" s="257"/>
      <c r="D16" s="257"/>
      <c r="E16" s="257"/>
      <c r="F16" s="257"/>
      <c r="G16" s="168"/>
      <c r="I16" s="166" t="s">
        <v>261</v>
      </c>
    </row>
    <row r="17" customFormat="false" ht="14.25" hidden="false" customHeight="true" outlineLevel="0" collapsed="false">
      <c r="A17" s="181" t="s">
        <v>262</v>
      </c>
      <c r="B17" s="251" t="n">
        <f aca="false">B6-B15</f>
        <v>4649224.89</v>
      </c>
      <c r="C17" s="251" t="n">
        <f aca="false">C6-C15</f>
        <v>5307438.3</v>
      </c>
      <c r="D17" s="251" t="n">
        <f aca="false">D6-D15</f>
        <v>5468226.78</v>
      </c>
      <c r="E17" s="251" t="n">
        <f aca="false">E6-E15</f>
        <v>5627994.78</v>
      </c>
      <c r="F17" s="251" t="n">
        <f aca="false">F6-F15</f>
        <v>5786474.6136</v>
      </c>
      <c r="G17" s="168"/>
    </row>
    <row r="18" customFormat="false" ht="14.25" hidden="false" customHeight="true" outlineLevel="0" collapsed="false">
      <c r="A18" s="195" t="s">
        <v>263</v>
      </c>
      <c r="B18" s="257" t="n">
        <f aca="false">30%*B17*0</f>
        <v>0</v>
      </c>
      <c r="C18" s="257" t="n">
        <f aca="false">30%*C17*0</f>
        <v>0</v>
      </c>
      <c r="D18" s="257" t="n">
        <f aca="false">30%*D17*0</f>
        <v>0</v>
      </c>
      <c r="E18" s="257" t="n">
        <f aca="false">30%*E17*0</f>
        <v>0</v>
      </c>
      <c r="F18" s="257" t="n">
        <f aca="false">30%*F17*0</f>
        <v>0</v>
      </c>
      <c r="G18" s="168"/>
    </row>
    <row r="19" customFormat="false" ht="14.25" hidden="false" customHeight="true" outlineLevel="0" collapsed="false">
      <c r="A19" s="195" t="s">
        <v>264</v>
      </c>
      <c r="B19" s="254" t="n">
        <f aca="false">+'Eléments du compte d''exploitati'!B38</f>
        <v>74250</v>
      </c>
      <c r="C19" s="254" t="n">
        <f aca="false">+'Eléments du compte d''exploitati'!C38</f>
        <v>77962.5</v>
      </c>
      <c r="D19" s="254" t="n">
        <f aca="false">+'Eléments du compte d''exploitati'!D38</f>
        <v>77962.5</v>
      </c>
      <c r="E19" s="254" t="n">
        <f aca="false">+'Eléments du compte d''exploitati'!E38</f>
        <v>77962.5</v>
      </c>
      <c r="F19" s="254" t="n">
        <f aca="false">+'Eléments du compte d''exploitati'!F38</f>
        <v>77962.5</v>
      </c>
      <c r="G19" s="168"/>
    </row>
    <row r="20" customFormat="false" ht="14.25" hidden="false" customHeight="true" outlineLevel="0" collapsed="false">
      <c r="A20" s="181" t="s">
        <v>265</v>
      </c>
      <c r="B20" s="251" t="n">
        <f aca="false">+B17-B18-B19</f>
        <v>4574974.89</v>
      </c>
      <c r="C20" s="251" t="n">
        <f aca="false">+C17-C18-C19</f>
        <v>5229475.8</v>
      </c>
      <c r="D20" s="251" t="n">
        <f aca="false">+D17-D18-D19</f>
        <v>5390264.28</v>
      </c>
      <c r="E20" s="251" t="n">
        <f aca="false">+E17-E18-E19</f>
        <v>5550032.28</v>
      </c>
      <c r="F20" s="251" t="n">
        <f aca="false">+F17-F18-F19</f>
        <v>5708512.1136</v>
      </c>
      <c r="G20" s="168"/>
    </row>
    <row r="21" customFormat="false" ht="14.25" hidden="false" customHeight="true" outlineLevel="0" collapsed="false">
      <c r="A21" s="195"/>
      <c r="B21" s="257"/>
      <c r="C21" s="257"/>
      <c r="D21" s="257"/>
      <c r="E21" s="257"/>
      <c r="F21" s="257"/>
      <c r="G21" s="168"/>
      <c r="I21" s="166" t="n">
        <v>0</v>
      </c>
    </row>
    <row r="22" customFormat="false" ht="14.25" hidden="false" customHeight="true" outlineLevel="0" collapsed="false">
      <c r="A22" s="181" t="s">
        <v>266</v>
      </c>
      <c r="B22" s="251" t="n">
        <f aca="false">B20+B14</f>
        <v>5541524.89</v>
      </c>
      <c r="C22" s="251" t="n">
        <f aca="false">C20+C14</f>
        <v>5646025.8</v>
      </c>
      <c r="D22" s="251" t="n">
        <f aca="false">D20+D14</f>
        <v>5806814.28</v>
      </c>
      <c r="E22" s="251" t="n">
        <f aca="false">E20+E14</f>
        <v>5966582.28</v>
      </c>
      <c r="F22" s="251" t="n">
        <f aca="false">F20+F14</f>
        <v>6125062.1136</v>
      </c>
      <c r="G22" s="168"/>
    </row>
    <row r="23" customFormat="false" ht="18" hidden="false" customHeight="true" outlineLevel="0" collapsed="false">
      <c r="A23" s="258" t="s">
        <v>267</v>
      </c>
      <c r="B23" s="259" t="n">
        <f aca="false">+B22</f>
        <v>5541524.89</v>
      </c>
      <c r="C23" s="259" t="n">
        <f aca="false">C22+B23</f>
        <v>11187550.69</v>
      </c>
      <c r="D23" s="259" t="n">
        <f aca="false">D22+C23</f>
        <v>16994364.97</v>
      </c>
      <c r="E23" s="259" t="n">
        <f aca="false">E22+D23</f>
        <v>22960947.25</v>
      </c>
      <c r="F23" s="259" t="n">
        <f aca="false">F22+E23</f>
        <v>29086009.3636</v>
      </c>
      <c r="G23" s="168"/>
    </row>
    <row r="24" customFormat="false" ht="18" hidden="false" customHeight="true" outlineLevel="0" collapsed="false">
      <c r="A24" s="168"/>
      <c r="B24" s="260"/>
      <c r="C24" s="260"/>
      <c r="D24" s="260"/>
      <c r="E24" s="260"/>
      <c r="F24" s="260"/>
      <c r="G24" s="16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1"/>
  <sheetViews>
    <sheetView showFormulas="false" showGridLines="true" showRowColHeaders="true" showZeros="true" rightToLeft="false" tabSelected="true" showOutlineSymbols="true" defaultGridColor="true" view="normal" topLeftCell="A12" colorId="64" zoomScale="100" zoomScaleNormal="100" zoomScalePageLayoutView="100" workbookViewId="0">
      <selection pane="topLeft" activeCell="B27" activeCellId="0" sqref="B27"/>
    </sheetView>
  </sheetViews>
  <sheetFormatPr defaultColWidth="11.453125" defaultRowHeight="14.25" zeroHeight="false" outlineLevelRow="0" outlineLevelCol="0"/>
  <cols>
    <col collapsed="false" customWidth="true" hidden="false" outlineLevel="0" max="1" min="1" style="65" width="43.09"/>
    <col collapsed="false" customWidth="true" hidden="false" outlineLevel="0" max="2" min="2" style="65" width="16.82"/>
    <col collapsed="false" customWidth="true" hidden="false" outlineLevel="0" max="3" min="3" style="65" width="33.09"/>
    <col collapsed="false" customWidth="true" hidden="false" outlineLevel="0" max="5" min="4" style="65" width="15.54"/>
    <col collapsed="false" customWidth="true" hidden="false" outlineLevel="0" max="6" min="6" style="65" width="14.45"/>
    <col collapsed="false" customWidth="true" hidden="false" outlineLevel="0" max="7" min="7" style="65" width="15.45"/>
    <col collapsed="false" customWidth="true" hidden="false" outlineLevel="0" max="8" min="8" style="65" width="4"/>
    <col collapsed="false" customWidth="false" hidden="false" outlineLevel="0" max="9" min="9" style="65" width="11.45"/>
    <col collapsed="false" customWidth="true" hidden="false" outlineLevel="0" max="10" min="10" style="65" width="12.54"/>
    <col collapsed="false" customWidth="false" hidden="false" outlineLevel="0" max="16384" min="11" style="65" width="11.45"/>
  </cols>
  <sheetData>
    <row r="1" customFormat="false" ht="15" hidden="false" customHeight="true" outlineLevel="0" collapsed="false">
      <c r="A1" s="67"/>
      <c r="B1" s="67"/>
      <c r="C1" s="67"/>
      <c r="D1" s="67"/>
      <c r="E1" s="67"/>
      <c r="F1" s="67"/>
      <c r="G1" s="67"/>
      <c r="H1" s="67"/>
    </row>
    <row r="2" customFormat="false" ht="20.25" hidden="false" customHeight="true" outlineLevel="0" collapsed="false">
      <c r="A2" s="69" t="s">
        <v>268</v>
      </c>
      <c r="B2" s="261"/>
      <c r="C2" s="261"/>
      <c r="D2" s="261"/>
      <c r="E2" s="261"/>
      <c r="F2" s="262"/>
      <c r="G2" s="69"/>
      <c r="H2" s="67"/>
    </row>
    <row r="3" customFormat="false" ht="18.75" hidden="false" customHeight="true" outlineLevel="0" collapsed="false">
      <c r="A3" s="263"/>
      <c r="B3" s="263"/>
      <c r="H3" s="67"/>
    </row>
    <row r="4" customFormat="false" ht="18" hidden="false" customHeight="true" outlineLevel="0" collapsed="false">
      <c r="A4" s="247" t="s">
        <v>209</v>
      </c>
      <c r="B4" s="264" t="s">
        <v>269</v>
      </c>
      <c r="C4" s="264" t="s">
        <v>210</v>
      </c>
      <c r="D4" s="264" t="s">
        <v>211</v>
      </c>
      <c r="E4" s="264" t="s">
        <v>212</v>
      </c>
      <c r="F4" s="264" t="s">
        <v>213</v>
      </c>
      <c r="G4" s="264" t="s">
        <v>214</v>
      </c>
      <c r="H4" s="67"/>
    </row>
    <row r="5" customFormat="false" ht="15.75" hidden="false" customHeight="true" outlineLevel="0" collapsed="false">
      <c r="A5" s="81" t="s">
        <v>270</v>
      </c>
      <c r="B5" s="81"/>
      <c r="C5" s="81"/>
      <c r="D5" s="81"/>
      <c r="E5" s="81"/>
      <c r="F5" s="81"/>
      <c r="G5" s="81"/>
      <c r="H5" s="67"/>
    </row>
    <row r="6" customFormat="false" ht="15" hidden="false" customHeight="true" outlineLevel="0" collapsed="false">
      <c r="A6" s="265" t="s">
        <v>271</v>
      </c>
      <c r="B6" s="266" t="n">
        <f aca="false">'Plan Financement'!C7</f>
        <v>305900</v>
      </c>
      <c r="C6" s="266"/>
      <c r="D6" s="266"/>
      <c r="E6" s="266"/>
      <c r="F6" s="266"/>
      <c r="G6" s="266"/>
      <c r="H6" s="67"/>
    </row>
    <row r="7" customFormat="false" ht="15" hidden="false" customHeight="true" outlineLevel="0" collapsed="false">
      <c r="A7" s="265" t="s">
        <v>272</v>
      </c>
      <c r="B7" s="266" t="n">
        <f aca="false">'Plan Financement'!C14</f>
        <v>2753100</v>
      </c>
      <c r="C7" s="266"/>
      <c r="D7" s="266"/>
      <c r="E7" s="266"/>
      <c r="F7" s="266"/>
      <c r="G7" s="266"/>
      <c r="H7" s="67"/>
    </row>
    <row r="8" customFormat="false" ht="15" hidden="false" customHeight="true" outlineLevel="0" collapsed="false">
      <c r="A8" s="265" t="s">
        <v>273</v>
      </c>
      <c r="B8" s="266" t="n">
        <f aca="false">SUM('Plan Financement'!C11:C12)</f>
        <v>0</v>
      </c>
      <c r="C8" s="266"/>
      <c r="D8" s="266"/>
      <c r="E8" s="266"/>
      <c r="F8" s="266"/>
      <c r="G8" s="266"/>
      <c r="H8" s="67"/>
    </row>
    <row r="9" customFormat="false" ht="15" hidden="false" customHeight="true" outlineLevel="0" collapsed="false">
      <c r="A9" s="265" t="s">
        <v>274</v>
      </c>
      <c r="B9" s="266" t="n">
        <f aca="false">'Plan Financement'!C13</f>
        <v>0</v>
      </c>
      <c r="C9" s="266"/>
      <c r="D9" s="266"/>
      <c r="E9" s="266"/>
      <c r="F9" s="266"/>
      <c r="G9" s="266"/>
      <c r="H9" s="67"/>
    </row>
    <row r="10" customFormat="false" ht="15" hidden="false" customHeight="true" outlineLevel="0" collapsed="false">
      <c r="A10" s="265" t="s">
        <v>275</v>
      </c>
      <c r="B10" s="266"/>
      <c r="C10" s="266" t="n">
        <f aca="false">'Compte d''exploitation'!B14</f>
        <v>966550</v>
      </c>
      <c r="D10" s="266" t="n">
        <f aca="false">'Compte d''exploitation'!C14</f>
        <v>416550</v>
      </c>
      <c r="E10" s="266" t="n">
        <f aca="false">'Compte d''exploitation'!D14</f>
        <v>416550</v>
      </c>
      <c r="F10" s="266" t="n">
        <f aca="false">'Compte d''exploitation'!E14</f>
        <v>416550</v>
      </c>
      <c r="G10" s="266" t="n">
        <f aca="false">'Compte d''exploitation'!F14</f>
        <v>416550</v>
      </c>
      <c r="H10" s="67"/>
    </row>
    <row r="11" customFormat="false" ht="15" hidden="false" customHeight="true" outlineLevel="0" collapsed="false">
      <c r="A11" s="265" t="s">
        <v>265</v>
      </c>
      <c r="B11" s="266"/>
      <c r="C11" s="266" t="n">
        <f aca="false">+'Compte d''exploitation'!B20</f>
        <v>4574974.89</v>
      </c>
      <c r="D11" s="266" t="n">
        <f aca="false">+'Compte d''exploitation'!C20</f>
        <v>5229475.8</v>
      </c>
      <c r="E11" s="266" t="n">
        <f aca="false">+'Compte d''exploitation'!D20</f>
        <v>5390264.28</v>
      </c>
      <c r="F11" s="266" t="n">
        <f aca="false">+'Compte d''exploitation'!E20</f>
        <v>5550032.28</v>
      </c>
      <c r="G11" s="266" t="n">
        <f aca="false">+'Compte d''exploitation'!F20</f>
        <v>5708512.1136</v>
      </c>
      <c r="H11" s="67"/>
    </row>
    <row r="12" customFormat="false" ht="15" hidden="false" customHeight="true" outlineLevel="0" collapsed="false">
      <c r="A12" s="157" t="s">
        <v>276</v>
      </c>
      <c r="B12" s="267" t="n">
        <f aca="false">SUM(B6:B11)</f>
        <v>3059000</v>
      </c>
      <c r="C12" s="267" t="n">
        <f aca="false">SUM(C6:C11)</f>
        <v>5541524.89</v>
      </c>
      <c r="D12" s="267" t="n">
        <f aca="false">SUM(D6:D11)</f>
        <v>5646025.8</v>
      </c>
      <c r="E12" s="267" t="n">
        <f aca="false">SUM(E6:E11)</f>
        <v>5806814.28</v>
      </c>
      <c r="F12" s="267" t="n">
        <f aca="false">SUM(F6:F11)</f>
        <v>5966582.28</v>
      </c>
      <c r="G12" s="267" t="n">
        <f aca="false">SUM(G6:G11)</f>
        <v>6125062.1136</v>
      </c>
      <c r="H12" s="67"/>
    </row>
    <row r="13" customFormat="false" ht="15.75" hidden="false" customHeight="true" outlineLevel="0" collapsed="false">
      <c r="A13" s="81" t="s">
        <v>277</v>
      </c>
      <c r="B13" s="81"/>
      <c r="C13" s="81"/>
      <c r="D13" s="81"/>
      <c r="E13" s="81"/>
      <c r="F13" s="81"/>
      <c r="G13" s="81"/>
      <c r="H13" s="67"/>
    </row>
    <row r="14" customFormat="false" ht="15" hidden="false" customHeight="true" outlineLevel="0" collapsed="false">
      <c r="A14" s="265" t="s">
        <v>278</v>
      </c>
      <c r="B14" s="266" t="n">
        <f aca="false">+'Coût du projet'!C4</f>
        <v>550000</v>
      </c>
      <c r="C14" s="266"/>
      <c r="D14" s="266"/>
      <c r="E14" s="266"/>
      <c r="F14" s="266"/>
      <c r="G14" s="266"/>
      <c r="H14" s="67"/>
    </row>
    <row r="15" customFormat="false" ht="15" hidden="false" customHeight="true" outlineLevel="0" collapsed="false">
      <c r="A15" s="265" t="s">
        <v>279</v>
      </c>
      <c r="B15" s="266" t="n">
        <f aca="false">+'Coût du projet'!C11</f>
        <v>1709000</v>
      </c>
      <c r="C15" s="266"/>
      <c r="D15" s="266"/>
      <c r="E15" s="266"/>
      <c r="F15" s="266"/>
      <c r="G15" s="266"/>
      <c r="H15" s="67"/>
    </row>
    <row r="16" customFormat="false" ht="15" hidden="false" customHeight="true" outlineLevel="0" collapsed="false">
      <c r="A16" s="265" t="s">
        <v>280</v>
      </c>
      <c r="B16" s="266" t="n">
        <f aca="false">+'Coût du projet'!C40</f>
        <v>800000</v>
      </c>
      <c r="C16" s="266"/>
      <c r="D16" s="266"/>
      <c r="E16" s="266"/>
      <c r="F16" s="266"/>
      <c r="G16" s="266"/>
      <c r="H16" s="67"/>
    </row>
    <row r="17" customFormat="false" ht="15" hidden="false" customHeight="true" outlineLevel="0" collapsed="false">
      <c r="A17" s="265" t="s">
        <v>281</v>
      </c>
      <c r="B17" s="266"/>
      <c r="C17" s="266" t="n">
        <f aca="false">+SUM('Echéancier Prêt'!F12:F23)</f>
        <v>305900</v>
      </c>
      <c r="D17" s="266" t="n">
        <f aca="false">+SUM('Echéancier Prêt'!F24:F35)</f>
        <v>611800</v>
      </c>
      <c r="E17" s="266" t="n">
        <f aca="false">+SUM('Echéancier Prêt'!F36:F47)</f>
        <v>611800</v>
      </c>
      <c r="F17" s="266" t="n">
        <f aca="false">+SUM('Echéancier Prêt'!F48:F59)</f>
        <v>611800</v>
      </c>
      <c r="G17" s="266" t="n">
        <f aca="false">+SUM('Echéancier Prêt'!F60:F71)</f>
        <v>611800</v>
      </c>
      <c r="H17" s="67"/>
    </row>
    <row r="18" customFormat="false" ht="15" hidden="false" customHeight="true" outlineLevel="0" collapsed="false">
      <c r="A18" s="157" t="s">
        <v>282</v>
      </c>
      <c r="B18" s="267" t="n">
        <f aca="false">SUM(B14:B17)</f>
        <v>3059000</v>
      </c>
      <c r="C18" s="267" t="n">
        <f aca="false">SUM(C14:C17)</f>
        <v>305900</v>
      </c>
      <c r="D18" s="267" t="n">
        <f aca="false">SUM(D14:D17)</f>
        <v>611800</v>
      </c>
      <c r="E18" s="267" t="n">
        <f aca="false">SUM(E14:E17)</f>
        <v>611800</v>
      </c>
      <c r="F18" s="267" t="n">
        <f aca="false">SUM(F14:F17)</f>
        <v>611800</v>
      </c>
      <c r="G18" s="267" t="n">
        <f aca="false">SUM(G14:G17)</f>
        <v>611800</v>
      </c>
      <c r="H18" s="67"/>
    </row>
    <row r="19" customFormat="false" ht="15" hidden="false" customHeight="true" outlineLevel="0" collapsed="false">
      <c r="B19" s="268"/>
      <c r="C19" s="268"/>
      <c r="D19" s="268"/>
      <c r="E19" s="268"/>
      <c r="F19" s="268"/>
      <c r="G19" s="268"/>
      <c r="H19" s="67"/>
    </row>
    <row r="20" customFormat="false" ht="15.75" hidden="false" customHeight="true" outlineLevel="0" collapsed="false">
      <c r="A20" s="269" t="s">
        <v>283</v>
      </c>
      <c r="B20" s="269" t="n">
        <f aca="false">+B12-B18</f>
        <v>0</v>
      </c>
      <c r="C20" s="269" t="n">
        <f aca="false">+C12-C18</f>
        <v>5235624.89</v>
      </c>
      <c r="D20" s="269" t="n">
        <f aca="false">+D12-D18</f>
        <v>5034225.8</v>
      </c>
      <c r="E20" s="269" t="n">
        <f aca="false">+E12-E18</f>
        <v>5195014.28</v>
      </c>
      <c r="F20" s="269" t="n">
        <f aca="false">+F12-F18</f>
        <v>5354782.28</v>
      </c>
      <c r="G20" s="269" t="n">
        <f aca="false">+G12-G18</f>
        <v>5513262.1136</v>
      </c>
      <c r="H20" s="67"/>
    </row>
    <row r="21" customFormat="false" ht="15.75" hidden="false" customHeight="true" outlineLevel="0" collapsed="false">
      <c r="A21" s="269" t="s">
        <v>284</v>
      </c>
      <c r="B21" s="269" t="n">
        <f aca="false">+B20</f>
        <v>0</v>
      </c>
      <c r="C21" s="269" t="n">
        <f aca="false">B21+C20</f>
        <v>5235624.89</v>
      </c>
      <c r="D21" s="269" t="n">
        <f aca="false">C21+D20</f>
        <v>10269850.69</v>
      </c>
      <c r="E21" s="269" t="n">
        <f aca="false">D21+E20</f>
        <v>15464864.97</v>
      </c>
      <c r="F21" s="269" t="n">
        <f aca="false">E21+F20</f>
        <v>20819647.25</v>
      </c>
      <c r="G21" s="269" t="n">
        <f aca="false">F21+G20</f>
        <v>26332909.3636</v>
      </c>
      <c r="H21" s="67"/>
    </row>
    <row r="22" customFormat="false" ht="15" hidden="false" customHeight="true" outlineLevel="0" collapsed="false">
      <c r="H22" s="67"/>
    </row>
    <row r="23" customFormat="false" ht="20.25" hidden="false" customHeight="true" outlineLevel="0" collapsed="false">
      <c r="A23" s="270" t="s">
        <v>285</v>
      </c>
      <c r="B23" s="270"/>
      <c r="C23" s="270"/>
      <c r="D23" s="270"/>
      <c r="E23" s="270"/>
      <c r="F23" s="270"/>
      <c r="G23" s="270"/>
      <c r="H23" s="67"/>
    </row>
    <row r="24" customFormat="false" ht="15" hidden="false" customHeight="true" outlineLevel="0" collapsed="false">
      <c r="A24" s="271" t="n">
        <f aca="false">+'Plan Financement'!B20</f>
        <v>0.08</v>
      </c>
      <c r="B24" s="272"/>
      <c r="C24" s="272"/>
      <c r="D24" s="272"/>
      <c r="E24" s="272"/>
      <c r="F24" s="272"/>
      <c r="G24" s="272"/>
      <c r="H24" s="67"/>
    </row>
    <row r="25" customFormat="false" ht="15" hidden="false" customHeight="true" outlineLevel="0" collapsed="false">
      <c r="A25" s="273" t="n">
        <f aca="false">-B18</f>
        <v>-3059000</v>
      </c>
      <c r="B25" s="273" t="n">
        <f aca="false">+'Compte d''exploitation'!B22</f>
        <v>5541524.89</v>
      </c>
      <c r="C25" s="273" t="n">
        <f aca="false">+'Compte d''exploitation'!C22</f>
        <v>5646025.8</v>
      </c>
      <c r="D25" s="273" t="n">
        <f aca="false">+'Compte d''exploitation'!D22</f>
        <v>5806814.28</v>
      </c>
      <c r="E25" s="273" t="n">
        <f aca="false">+'Compte d''exploitation'!E22</f>
        <v>5966582.28</v>
      </c>
      <c r="F25" s="273" t="n">
        <f aca="false">+'Compte d''exploitation'!F22</f>
        <v>6125062.1136</v>
      </c>
      <c r="G25" s="272"/>
      <c r="H25" s="67"/>
      <c r="J25" s="65" t="n">
        <f aca="false">B18/(F25*A24)</f>
        <v>6.24279383471035</v>
      </c>
    </row>
    <row r="26" customFormat="false" ht="15" hidden="false" customHeight="true" outlineLevel="0" collapsed="false">
      <c r="A26" s="274"/>
      <c r="B26" s="274"/>
      <c r="C26" s="274"/>
      <c r="D26" s="274"/>
      <c r="E26" s="274"/>
      <c r="F26" s="274"/>
      <c r="G26" s="272"/>
      <c r="H26" s="67"/>
    </row>
    <row r="27" customFormat="false" ht="15" hidden="false" customHeight="true" outlineLevel="0" collapsed="false">
      <c r="A27" s="274"/>
      <c r="B27" s="274"/>
      <c r="C27" s="275" t="s">
        <v>286</v>
      </c>
      <c r="D27" s="276" t="n">
        <f aca="false">IRR(A25:F25)</f>
        <v>1.82220822889539</v>
      </c>
      <c r="E27" s="274" t="s">
        <v>287</v>
      </c>
      <c r="F27" s="274"/>
      <c r="G27" s="272"/>
      <c r="H27" s="67"/>
    </row>
    <row r="28" customFormat="false" ht="15" hidden="false" customHeight="true" outlineLevel="0" collapsed="false">
      <c r="A28" s="274"/>
      <c r="B28" s="274"/>
      <c r="C28" s="274"/>
      <c r="D28" s="274"/>
      <c r="E28" s="274"/>
      <c r="F28" s="274"/>
      <c r="G28" s="272"/>
      <c r="H28" s="67"/>
    </row>
    <row r="29" customFormat="false" ht="15" hidden="false" customHeight="true" outlineLevel="0" collapsed="false">
      <c r="A29" s="274"/>
      <c r="B29" s="274"/>
      <c r="C29" s="275" t="s">
        <v>288</v>
      </c>
      <c r="D29" s="277" t="n">
        <f aca="false">A25+NPV(A24,B25:F25)</f>
        <v>20076465.5069311</v>
      </c>
      <c r="E29" s="278" t="s">
        <v>287</v>
      </c>
      <c r="F29" s="274"/>
      <c r="G29" s="272"/>
      <c r="H29" s="67"/>
    </row>
    <row r="30" customFormat="false" ht="15" hidden="false" customHeight="true" outlineLevel="0" collapsed="false">
      <c r="A30" s="272"/>
      <c r="B30" s="272"/>
      <c r="C30" s="272"/>
      <c r="D30" s="272"/>
      <c r="E30" s="272"/>
      <c r="F30" s="272"/>
      <c r="G30" s="272"/>
      <c r="H30" s="67"/>
    </row>
    <row r="31" customFormat="false" ht="15.75" hidden="false" customHeight="true" outlineLevel="0" collapsed="false">
      <c r="A31" s="279" t="s">
        <v>289</v>
      </c>
      <c r="B31" s="279"/>
      <c r="C31" s="279"/>
      <c r="D31" s="279"/>
      <c r="E31" s="279"/>
      <c r="F31" s="279"/>
      <c r="G31" s="280"/>
      <c r="H31" s="67"/>
    </row>
    <row r="32" customFormat="false" ht="15.75" hidden="false" customHeight="true" outlineLevel="0" collapsed="false">
      <c r="A32" s="280"/>
      <c r="B32" s="280"/>
      <c r="C32" s="280"/>
      <c r="D32" s="280"/>
      <c r="E32" s="280"/>
      <c r="F32" s="280"/>
      <c r="G32" s="280"/>
      <c r="H32" s="67"/>
      <c r="J32" s="65" t="n">
        <f aca="false">+J30*A24</f>
        <v>0</v>
      </c>
    </row>
    <row r="33" customFormat="false" ht="15.75" hidden="false" customHeight="true" outlineLevel="0" collapsed="false">
      <c r="A33" s="280"/>
      <c r="B33" s="281" t="s">
        <v>290</v>
      </c>
      <c r="C33" s="281" t="s">
        <v>291</v>
      </c>
      <c r="D33" s="281" t="s">
        <v>292</v>
      </c>
      <c r="E33" s="281" t="s">
        <v>293</v>
      </c>
      <c r="F33" s="281" t="s">
        <v>294</v>
      </c>
      <c r="G33" s="280"/>
      <c r="H33" s="67"/>
    </row>
    <row r="34" customFormat="false" ht="15.75" hidden="false" customHeight="true" outlineLevel="0" collapsed="false">
      <c r="A34" s="282" t="s">
        <v>295</v>
      </c>
      <c r="B34" s="283" t="n">
        <f aca="false">+'Compte d''exploitation'!B22</f>
        <v>5541524.89</v>
      </c>
      <c r="C34" s="283" t="n">
        <f aca="false">+'Compte d''exploitation'!C22</f>
        <v>5646025.8</v>
      </c>
      <c r="D34" s="283" t="n">
        <f aca="false">+'Compte d''exploitation'!D22</f>
        <v>5806814.28</v>
      </c>
      <c r="E34" s="283" t="n">
        <f aca="false">+'Compte d''exploitation'!E22</f>
        <v>5966582.28</v>
      </c>
      <c r="F34" s="283" t="n">
        <f aca="false">+'Compte d''exploitation'!F22</f>
        <v>6125062.1136</v>
      </c>
      <c r="G34" s="280"/>
      <c r="H34" s="67"/>
    </row>
    <row r="35" customFormat="false" ht="15.75" hidden="false" customHeight="true" outlineLevel="0" collapsed="false">
      <c r="A35" s="282" t="s">
        <v>296</v>
      </c>
      <c r="B35" s="283" t="n">
        <f aca="false">+B34</f>
        <v>5541524.89</v>
      </c>
      <c r="C35" s="283" t="n">
        <f aca="false">+C34+B35</f>
        <v>11187550.69</v>
      </c>
      <c r="D35" s="283" t="n">
        <f aca="false">+D34+C35</f>
        <v>16994364.97</v>
      </c>
      <c r="E35" s="283" t="n">
        <f aca="false">+E34+D35</f>
        <v>22960947.25</v>
      </c>
      <c r="F35" s="283" t="n">
        <f aca="false">+F34+E35</f>
        <v>29086009.3636</v>
      </c>
      <c r="G35" s="280"/>
      <c r="H35" s="67"/>
      <c r="J35" s="284"/>
    </row>
    <row r="36" customFormat="false" ht="15.75" hidden="false" customHeight="true" outlineLevel="0" collapsed="false">
      <c r="A36" s="285" t="s">
        <v>297</v>
      </c>
      <c r="B36" s="283" t="n">
        <f aca="false">B35-(B35*10/100)</f>
        <v>4987372.401</v>
      </c>
      <c r="C36" s="283" t="n">
        <f aca="false">C34-(C34*10/100)</f>
        <v>5081423.22</v>
      </c>
      <c r="D36" s="283" t="n">
        <f aca="false">D34-(D34*10%)</f>
        <v>5226132.852</v>
      </c>
      <c r="E36" s="283" t="n">
        <f aca="false">E34-(E34*10%)</f>
        <v>5369924.052</v>
      </c>
      <c r="F36" s="283" t="n">
        <f aca="false">F34-(F34*10%)</f>
        <v>5512555.90224</v>
      </c>
      <c r="G36" s="280"/>
      <c r="H36" s="67"/>
    </row>
    <row r="37" customFormat="false" ht="15.75" hidden="false" customHeight="true" outlineLevel="0" collapsed="false">
      <c r="A37" s="286" t="s">
        <v>298</v>
      </c>
      <c r="B37" s="283" t="n">
        <f aca="false">+B36</f>
        <v>4987372.401</v>
      </c>
      <c r="C37" s="283" t="n">
        <f aca="false">+C36+B37</f>
        <v>10068795.621</v>
      </c>
      <c r="D37" s="283" t="n">
        <f aca="false">+D36+C37</f>
        <v>15294928.473</v>
      </c>
      <c r="E37" s="283" t="n">
        <f aca="false">+E36+D37</f>
        <v>20664852.525</v>
      </c>
      <c r="F37" s="283" t="n">
        <f aca="false">+F36+E37</f>
        <v>26177408.42724</v>
      </c>
      <c r="G37" s="280"/>
      <c r="H37" s="67"/>
    </row>
    <row r="38" customFormat="false" ht="15.75" hidden="false" customHeight="true" outlineLevel="0" collapsed="false">
      <c r="A38" s="287" t="s">
        <v>299</v>
      </c>
      <c r="B38" s="288" t="n">
        <f aca="false">IF(B35&gt;=$B$18,0,IF(C35&gt;=$B$18,1,IF(D35&gt;=$B$18,2,IF(E35&gt;=$B$18,3,IF(F35&gt;=$B$18,4,5)))))</f>
        <v>0</v>
      </c>
      <c r="C38" s="280"/>
      <c r="D38" s="280"/>
      <c r="E38" s="280"/>
      <c r="F38" s="280"/>
      <c r="G38" s="280"/>
      <c r="H38" s="67"/>
    </row>
    <row r="39" customFormat="false" ht="15.75" hidden="false" customHeight="true" outlineLevel="0" collapsed="false">
      <c r="A39" s="289" t="s">
        <v>300</v>
      </c>
      <c r="B39" s="290" t="n">
        <f aca="false">CHOOSE(B38+1,0,B35,C35,D35,E35,F35)</f>
        <v>0</v>
      </c>
      <c r="C39" s="272"/>
      <c r="D39" s="272"/>
      <c r="E39" s="291"/>
      <c r="F39" s="272"/>
      <c r="G39" s="272"/>
      <c r="H39" s="67"/>
    </row>
    <row r="40" customFormat="false" ht="15.75" hidden="false" customHeight="true" outlineLevel="0" collapsed="false">
      <c r="A40" s="289" t="s">
        <v>301</v>
      </c>
      <c r="B40" s="290" t="n">
        <f aca="false">CHOOSE(B38+1,B34,C34,D34,E34,F34,F34)</f>
        <v>5541524.89</v>
      </c>
      <c r="C40" s="272"/>
      <c r="D40" s="272"/>
      <c r="E40" s="292" t="str">
        <f aca="false">INT(B41)&amp;" ans "&amp;INT((B41-INT(B41))*12)&amp;" mois "&amp;INT((((B41-INT(B41))*12)-INT((B41-INT(B41))*12))*30) &amp; " jours "</f>
        <v>0 ans 6 mois 18 jours </v>
      </c>
      <c r="F40" s="293"/>
      <c r="G40" s="272"/>
      <c r="H40" s="67"/>
    </row>
    <row r="41" customFormat="false" ht="15" hidden="false" customHeight="true" outlineLevel="0" collapsed="false">
      <c r="A41" s="289" t="s">
        <v>302</v>
      </c>
      <c r="B41" s="294" t="n">
        <f aca="false">B38+IF(B40=0,0,(B18-B39)/B40)</f>
        <v>0.552014122596497</v>
      </c>
      <c r="C41" s="272" t="s">
        <v>303</v>
      </c>
      <c r="D41" s="272"/>
      <c r="E41" s="295"/>
      <c r="F41" s="296"/>
      <c r="G41" s="296"/>
      <c r="H41" s="67"/>
    </row>
    <row r="42" customFormat="false" ht="15" hidden="false" customHeight="true" outlineLevel="0" collapsed="false">
      <c r="A42" s="297" t="s">
        <v>304</v>
      </c>
      <c r="B42" s="298" t="str">
        <f aca="false">IF(ROUND(MOD(B41,1)*12,0)=12,(INT(B41)+1)&amp;" an(s) et 0 mois",INT(B41)&amp;" an(s) et "&amp;ROUND(MOD(B41,1)*12,0)&amp;" mois")</f>
        <v>0 an(s) et 7 mois</v>
      </c>
      <c r="C42" s="272" t="s">
        <v>305</v>
      </c>
      <c r="D42" s="272"/>
      <c r="E42" s="299"/>
      <c r="F42" s="300"/>
      <c r="G42" s="300"/>
      <c r="H42" s="67"/>
    </row>
    <row r="43" customFormat="false" ht="15" hidden="false" customHeight="true" outlineLevel="0" collapsed="false">
      <c r="A43" s="272"/>
      <c r="B43" s="272"/>
      <c r="C43" s="272"/>
      <c r="D43" s="272"/>
      <c r="E43" s="295"/>
      <c r="F43" s="295"/>
      <c r="G43" s="272"/>
      <c r="H43" s="67"/>
    </row>
    <row r="44" customFormat="false" ht="15.75" hidden="false" customHeight="true" outlineLevel="0" collapsed="false">
      <c r="A44" s="301" t="s">
        <v>306</v>
      </c>
      <c r="B44" s="302" t="n">
        <f aca="false">+B17-D36</f>
        <v>-5226132.852</v>
      </c>
      <c r="C44" s="272"/>
      <c r="D44" s="272"/>
      <c r="E44" s="291"/>
      <c r="F44" s="303"/>
      <c r="G44" s="272"/>
      <c r="H44" s="67"/>
    </row>
    <row r="45" customFormat="false" ht="15.75" hidden="false" customHeight="true" outlineLevel="0" collapsed="false">
      <c r="A45" s="289" t="s">
        <v>307</v>
      </c>
      <c r="B45" s="290" t="n">
        <f aca="false">B34/(1+$A$24)^1</f>
        <v>5131041.56481482</v>
      </c>
      <c r="C45" s="304" t="n">
        <f aca="false">C34/(1+$A$24)^2</f>
        <v>4840557.09876543</v>
      </c>
      <c r="D45" s="304" t="n">
        <f aca="false">D34/(1+$A$24)^3</f>
        <v>4609636.39308032</v>
      </c>
      <c r="E45" s="305" t="n">
        <f aca="false">E34/(1+$A$24)^4</f>
        <v>4385616.09496633</v>
      </c>
      <c r="F45" s="306" t="n">
        <f aca="false">F34/(1+$A$24)^5</f>
        <v>4168614.3553042</v>
      </c>
      <c r="G45" s="272"/>
      <c r="H45" s="67"/>
    </row>
    <row r="46" customFormat="false" ht="15" hidden="false" customHeight="true" outlineLevel="0" collapsed="false">
      <c r="A46" s="289" t="s">
        <v>308</v>
      </c>
      <c r="B46" s="290" t="n">
        <f aca="false">B45</f>
        <v>5131041.56481482</v>
      </c>
      <c r="C46" s="304" t="n">
        <f aca="false">C45+B46</f>
        <v>9971598.66358025</v>
      </c>
      <c r="D46" s="304" t="n">
        <f aca="false">D45+C46</f>
        <v>14581235.0566606</v>
      </c>
      <c r="E46" s="307" t="n">
        <f aca="false">E45+D46</f>
        <v>18966851.1516269</v>
      </c>
      <c r="F46" s="307" t="n">
        <f aca="false">F45+E46</f>
        <v>23135465.5069311</v>
      </c>
      <c r="G46" s="296"/>
      <c r="H46" s="67"/>
    </row>
    <row r="47" customFormat="false" ht="15" hidden="false" customHeight="true" outlineLevel="0" collapsed="false">
      <c r="A47" s="297" t="s">
        <v>309</v>
      </c>
      <c r="B47" s="288" t="n">
        <f aca="false">IF(B46&gt;=$B$18,0,IF(C46&gt;=$B$18,1,IF(D46&gt;=$B$18,2,IF(E46&gt;=$B$18,3,IF(F46&gt;=$B$18,4,5)))))</f>
        <v>0</v>
      </c>
      <c r="C47" s="272" t="s">
        <v>305</v>
      </c>
      <c r="D47" s="272"/>
      <c r="E47" s="299"/>
      <c r="F47" s="300"/>
      <c r="G47" s="300"/>
      <c r="H47" s="67"/>
    </row>
    <row r="48" customFormat="false" ht="15" hidden="false" customHeight="true" outlineLevel="0" collapsed="false">
      <c r="A48" s="308" t="s">
        <v>310</v>
      </c>
      <c r="B48" s="309" t="n">
        <f aca="false">CHOOSE(B47+1,0,B46,C46,D46,E46,F46)</f>
        <v>0</v>
      </c>
    </row>
    <row r="49" customFormat="false" ht="15" hidden="false" customHeight="true" outlineLevel="0" collapsed="false">
      <c r="A49" s="308" t="s">
        <v>311</v>
      </c>
      <c r="B49" s="309" t="n">
        <f aca="false">CHOOSE(B47+1,B45,C45,D45,E45,F45,F45)</f>
        <v>5131041.56481482</v>
      </c>
    </row>
    <row r="50" customFormat="false" ht="15" hidden="false" customHeight="true" outlineLevel="0" collapsed="false">
      <c r="A50" s="308" t="s">
        <v>312</v>
      </c>
      <c r="B50" s="310" t="n">
        <f aca="false">B47+IF(B49=0,0,(B18-B48)/B49)</f>
        <v>0.596175252404217</v>
      </c>
    </row>
    <row r="51" customFormat="false" ht="15" hidden="false" customHeight="true" outlineLevel="0" collapsed="false">
      <c r="A51" s="308" t="s">
        <v>313</v>
      </c>
      <c r="B51" s="311" t="str">
        <f aca="false">IF(ROUND(MOD(B50,1)*12,0)=12,(INT(B50)+1)&amp;" an(s) et 0 mois",INT(B50)&amp;" an(s) et "&amp;ROUND(MOD(B50,1)*12,0)&amp;" mois")</f>
        <v>0 an(s) et 7 mois</v>
      </c>
    </row>
  </sheetData>
  <mergeCells count="1">
    <mergeCell ref="A23:G2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4" activeCellId="0" sqref="A4"/>
    </sheetView>
  </sheetViews>
  <sheetFormatPr defaultColWidth="11.453125" defaultRowHeight="13.5" zeroHeight="false" outlineLevelRow="0" outlineLevelCol="0"/>
  <cols>
    <col collapsed="false" customWidth="true" hidden="false" outlineLevel="0" max="1" min="1" style="110" width="45.82"/>
    <col collapsed="false" customWidth="true" hidden="false" outlineLevel="0" max="2" min="2" style="312" width="19.54"/>
    <col collapsed="false" customWidth="true" hidden="false" outlineLevel="0" max="3" min="3" style="110" width="52.09"/>
    <col collapsed="false" customWidth="true" hidden="false" outlineLevel="0" max="4" min="4" style="110" width="20.82"/>
    <col collapsed="false" customWidth="true" hidden="false" outlineLevel="0" max="5" min="5" style="110" width="4.45"/>
    <col collapsed="false" customWidth="false" hidden="false" outlineLevel="0" max="16384" min="6" style="110" width="11.45"/>
  </cols>
  <sheetData>
    <row r="1" customFormat="false" ht="15" hidden="false" customHeight="true" outlineLevel="0" collapsed="false">
      <c r="A1" s="67"/>
      <c r="B1" s="67"/>
      <c r="C1" s="67"/>
      <c r="D1" s="67"/>
      <c r="E1" s="67"/>
    </row>
    <row r="2" customFormat="false" ht="20.25" hidden="false" customHeight="true" outlineLevel="0" collapsed="false">
      <c r="A2" s="69" t="s">
        <v>314</v>
      </c>
      <c r="B2" s="69"/>
      <c r="C2" s="69"/>
      <c r="D2" s="69"/>
      <c r="E2" s="67"/>
    </row>
    <row r="3" customFormat="false" ht="15" hidden="false" customHeight="true" outlineLevel="0" collapsed="false">
      <c r="E3" s="67"/>
    </row>
    <row r="4" customFormat="false" ht="18" hidden="false" customHeight="true" outlineLevel="0" collapsed="false">
      <c r="A4" s="313" t="s">
        <v>315</v>
      </c>
      <c r="B4" s="313"/>
      <c r="C4" s="313"/>
      <c r="D4" s="313"/>
      <c r="E4" s="67"/>
    </row>
    <row r="5" s="110" customFormat="true" ht="15" hidden="false" customHeight="true" outlineLevel="0" collapsed="false">
      <c r="E5" s="67"/>
    </row>
    <row r="6" customFormat="false" ht="15.75" hidden="false" customHeight="true" outlineLevel="0" collapsed="false">
      <c r="A6" s="314" t="s">
        <v>316</v>
      </c>
      <c r="B6" s="314" t="s">
        <v>317</v>
      </c>
      <c r="C6" s="314" t="s">
        <v>318</v>
      </c>
      <c r="D6" s="314" t="s">
        <v>317</v>
      </c>
      <c r="E6" s="67"/>
    </row>
    <row r="7" customFormat="false" ht="27" hidden="false" customHeight="true" outlineLevel="0" collapsed="false">
      <c r="A7" s="315" t="s">
        <v>319</v>
      </c>
      <c r="B7" s="316"/>
      <c r="C7" s="317" t="s">
        <v>320</v>
      </c>
      <c r="D7" s="318"/>
      <c r="E7" s="67"/>
    </row>
    <row r="8" customFormat="false" ht="15.75" hidden="false" customHeight="true" outlineLevel="0" collapsed="false">
      <c r="A8" s="315" t="s">
        <v>321</v>
      </c>
      <c r="B8" s="316"/>
      <c r="C8" s="315" t="s">
        <v>322</v>
      </c>
      <c r="D8" s="318" t="n">
        <f aca="false">+D9+D10</f>
        <v>305900</v>
      </c>
      <c r="E8" s="67"/>
    </row>
    <row r="9" customFormat="false" ht="15.75" hidden="false" customHeight="true" outlineLevel="0" collapsed="false">
      <c r="A9" s="319" t="str">
        <f aca="false">+'Coût du projet'!A5</f>
        <v>Frais d'étude / développement</v>
      </c>
      <c r="B9" s="319" t="n">
        <f aca="false">+'Coût du projet'!B5</f>
        <v>0</v>
      </c>
      <c r="C9" s="319" t="s">
        <v>323</v>
      </c>
      <c r="D9" s="318" t="n">
        <f aca="false">+B32</f>
        <v>0</v>
      </c>
      <c r="E9" s="67"/>
    </row>
    <row r="10" customFormat="false" ht="15.75" hidden="false" customHeight="true" outlineLevel="0" collapsed="false">
      <c r="A10" s="319" t="str">
        <f aca="false">+'Coût du projet'!A6</f>
        <v>Frais de publicité et de lancement</v>
      </c>
      <c r="B10" s="319" t="n">
        <f aca="false">+'Coût du projet'!B6</f>
        <v>0</v>
      </c>
      <c r="C10" s="319" t="s">
        <v>324</v>
      </c>
      <c r="D10" s="318" t="n">
        <f aca="false">+'Plan Financement'!C8</f>
        <v>305900</v>
      </c>
      <c r="E10" s="67"/>
    </row>
    <row r="11" customFormat="false" ht="17.25" hidden="false" customHeight="true" outlineLevel="0" collapsed="false">
      <c r="A11" s="319" t="str">
        <f aca="false">+'Coût du projet'!A7</f>
        <v>Frais de constitution</v>
      </c>
      <c r="B11" s="319" t="n">
        <f aca="false">+'Coût du projet'!B7</f>
        <v>0</v>
      </c>
      <c r="C11" s="320" t="s">
        <v>325</v>
      </c>
      <c r="D11" s="318"/>
      <c r="E11" s="67"/>
    </row>
    <row r="12" customFormat="false" ht="15.75" hidden="false" customHeight="true" outlineLevel="0" collapsed="false">
      <c r="A12" s="319" t="str">
        <f aca="false">+'Coût du projet'!A8</f>
        <v>Frais d'hypothèque</v>
      </c>
      <c r="B12" s="319" t="n">
        <f aca="false">+'Coût du projet'!B8</f>
        <v>0</v>
      </c>
      <c r="C12" s="321" t="s">
        <v>326</v>
      </c>
      <c r="D12" s="318"/>
      <c r="E12" s="67"/>
    </row>
    <row r="13" customFormat="false" ht="15.75" hidden="false" customHeight="true" outlineLevel="0" collapsed="false">
      <c r="A13" s="319" t="str">
        <f aca="false">+'Coût du projet'!A10</f>
        <v>Autres frais d’établissement</v>
      </c>
      <c r="B13" s="319" t="n">
        <f aca="false">+'Coût du projet'!B10</f>
        <v>550000</v>
      </c>
      <c r="C13" s="322" t="s">
        <v>327</v>
      </c>
      <c r="D13" s="318" t="n">
        <f aca="false">+'Compte de tresorerie'!B8+'Compte de tresorerie'!B9</f>
        <v>0</v>
      </c>
      <c r="E13" s="67"/>
    </row>
    <row r="14" customFormat="false" ht="15.75" hidden="false" customHeight="true" outlineLevel="0" collapsed="false">
      <c r="A14" s="315" t="s">
        <v>328</v>
      </c>
      <c r="B14" s="316"/>
      <c r="C14" s="323"/>
      <c r="D14" s="318"/>
      <c r="E14" s="67"/>
    </row>
    <row r="15" customFormat="false" ht="15.75" hidden="false" customHeight="true" outlineLevel="0" collapsed="false">
      <c r="A15" s="319" t="n">
        <f aca="false">+'Coût du projet'!A13</f>
        <v>0</v>
      </c>
      <c r="B15" s="324" t="n">
        <f aca="false">+'Coût du projet'!B13</f>
        <v>0</v>
      </c>
      <c r="C15" s="323"/>
      <c r="D15" s="318"/>
      <c r="E15" s="67"/>
    </row>
    <row r="16" customFormat="false" ht="15.75" hidden="false" customHeight="true" outlineLevel="0" collapsed="false">
      <c r="A16" s="319" t="n">
        <f aca="false">+'Coût du projet'!A14</f>
        <v>0</v>
      </c>
      <c r="B16" s="324" t="n">
        <f aca="false">+'Coût du projet'!B14</f>
        <v>0</v>
      </c>
      <c r="C16" s="325" t="s">
        <v>329</v>
      </c>
      <c r="D16" s="326" t="n">
        <f aca="false">+D13+D11+D8</f>
        <v>305900</v>
      </c>
      <c r="E16" s="67"/>
    </row>
    <row r="17" customFormat="false" ht="15.75" hidden="false" customHeight="true" outlineLevel="0" collapsed="false">
      <c r="A17" s="319" t="n">
        <f aca="false">+'Coût du projet'!A25</f>
        <v>0</v>
      </c>
      <c r="B17" s="324" t="n">
        <f aca="false">+'Coût du projet'!B25</f>
        <v>0</v>
      </c>
      <c r="C17" s="327"/>
      <c r="D17" s="318"/>
      <c r="E17" s="67"/>
    </row>
    <row r="18" customFormat="false" ht="15.75" hidden="false" customHeight="true" outlineLevel="0" collapsed="false">
      <c r="A18" s="319" t="str">
        <f aca="false">+'Coût du projet'!A20</f>
        <v>Préparation et aménagement de la parcelle</v>
      </c>
      <c r="B18" s="324" t="n">
        <f aca="false">+'Coût du projet'!B20</f>
        <v>30000</v>
      </c>
      <c r="C18" s="320" t="s">
        <v>330</v>
      </c>
      <c r="D18" s="318"/>
      <c r="E18" s="67"/>
    </row>
    <row r="19" customFormat="false" ht="15.75" hidden="false" customHeight="true" outlineLevel="0" collapsed="false">
      <c r="A19" s="319" t="str">
        <f aca="false">+'Coût du projet'!A21</f>
        <v>Pompe de surface et accessoires</v>
      </c>
      <c r="B19" s="324" t="n">
        <f aca="false">+'Coût du projet'!B21</f>
        <v>400000</v>
      </c>
      <c r="C19" s="319" t="s">
        <v>331</v>
      </c>
      <c r="D19" s="318" t="n">
        <f aca="false">+'Plan Financement'!C14</f>
        <v>2753100</v>
      </c>
      <c r="E19" s="67"/>
    </row>
    <row r="20" customFormat="false" ht="15.75" hidden="false" customHeight="true" outlineLevel="0" collapsed="false">
      <c r="A20" s="319" t="str">
        <f aca="false">+'Coût du projet'!A22</f>
        <v>Réservoir d’eau</v>
      </c>
      <c r="B20" s="324" t="n">
        <f aca="false">+'Coût du projet'!B22</f>
        <v>300000</v>
      </c>
      <c r="C20" s="319" t="s">
        <v>332</v>
      </c>
      <c r="D20" s="318"/>
      <c r="E20" s="67"/>
    </row>
    <row r="21" customFormat="false" ht="15.75" hidden="false" customHeight="true" outlineLevel="0" collapsed="false">
      <c r="A21" s="319" t="str">
        <f aca="false">+'Coût du projet'!A23</f>
        <v>Plastique pour le paillage (150 m²)</v>
      </c>
      <c r="B21" s="324" t="n">
        <f aca="false">+'Coût du projet'!B23</f>
        <v>300000</v>
      </c>
      <c r="C21" s="319" t="s">
        <v>333</v>
      </c>
      <c r="D21" s="318"/>
      <c r="E21" s="67"/>
    </row>
    <row r="22" customFormat="false" ht="15.75" hidden="false" customHeight="true" outlineLevel="0" collapsed="false">
      <c r="A22" s="319" t="str">
        <f aca="false">+'Coût du projet'!A24</f>
        <v>Système d’irrigation goutte-à-goutte (tuyaux, bouchons, coudes, injecteur, vannes, filtre, gaine)</v>
      </c>
      <c r="B22" s="324" t="n">
        <f aca="false">+'Coût du projet'!B24</f>
        <v>465000</v>
      </c>
      <c r="C22" s="325" t="s">
        <v>334</v>
      </c>
      <c r="D22" s="326" t="n">
        <f aca="false">SUM(D17:D21)</f>
        <v>2753100</v>
      </c>
      <c r="E22" s="67"/>
    </row>
    <row r="23" customFormat="false" ht="15.75" hidden="false" customHeight="true" outlineLevel="0" collapsed="false">
      <c r="A23" s="319" t="n">
        <f aca="false">+'Coût du projet'!A29</f>
        <v>0</v>
      </c>
      <c r="B23" s="324" t="n">
        <f aca="false">+'Coût du projet'!B29</f>
        <v>0</v>
      </c>
      <c r="C23" s="327"/>
      <c r="D23" s="318"/>
      <c r="E23" s="67"/>
    </row>
    <row r="24" customFormat="false" ht="15.75" hidden="false" customHeight="true" outlineLevel="0" collapsed="false">
      <c r="A24" s="319" t="n">
        <f aca="false">+'Coût du projet'!A30</f>
        <v>0</v>
      </c>
      <c r="B24" s="324" t="n">
        <f aca="false">+'Coût du projet'!B30</f>
        <v>0</v>
      </c>
      <c r="C24" s="325" t="s">
        <v>335</v>
      </c>
      <c r="D24" s="326" t="n">
        <f aca="false">D16+D22</f>
        <v>3059000</v>
      </c>
      <c r="E24" s="67"/>
    </row>
    <row r="25" customFormat="false" ht="15.75" hidden="false" customHeight="true" outlineLevel="0" collapsed="false">
      <c r="A25" s="319" t="n">
        <f aca="false">+'Coût du projet'!A31</f>
        <v>0</v>
      </c>
      <c r="B25" s="324" t="n">
        <f aca="false">+'Coût du projet'!B31</f>
        <v>0</v>
      </c>
      <c r="C25" s="325"/>
      <c r="D25" s="326"/>
      <c r="E25" s="67"/>
    </row>
    <row r="26" customFormat="false" ht="15.75" hidden="false" customHeight="true" outlineLevel="0" collapsed="false">
      <c r="A26" s="319" t="n">
        <f aca="false">+'Coût du projet'!A32</f>
        <v>0</v>
      </c>
      <c r="B26" s="324" t="n">
        <f aca="false">+'Coût du projet'!B32</f>
        <v>0</v>
      </c>
      <c r="C26" s="325"/>
      <c r="D26" s="326"/>
      <c r="E26" s="67"/>
    </row>
    <row r="27" customFormat="false" ht="15.75" hidden="false" customHeight="true" outlineLevel="0" collapsed="false">
      <c r="A27" s="319" t="str">
        <f aca="false">+'Coût du projet'!A35</f>
        <v>Brouette</v>
      </c>
      <c r="B27" s="324" t="n">
        <f aca="false">+'Coût du projet'!B35</f>
        <v>60000</v>
      </c>
      <c r="C27" s="325"/>
      <c r="D27" s="326"/>
      <c r="E27" s="67"/>
    </row>
    <row r="28" customFormat="false" ht="15.75" hidden="false" customHeight="true" outlineLevel="0" collapsed="false">
      <c r="A28" s="319" t="str">
        <f aca="false">+'Coût du projet'!A36</f>
        <v>Arrosoirs</v>
      </c>
      <c r="B28" s="324" t="n">
        <f aca="false">+'Coût du projet'!B36</f>
        <v>9000</v>
      </c>
      <c r="C28" s="325"/>
      <c r="D28" s="326"/>
      <c r="E28" s="67"/>
    </row>
    <row r="29" customFormat="false" ht="15.75" hidden="false" customHeight="true" outlineLevel="0" collapsed="false">
      <c r="A29" s="319" t="str">
        <f aca="false">+'Coût du projet'!A37</f>
        <v>Houes / daba / pelles (1 lot)</v>
      </c>
      <c r="B29" s="324" t="n">
        <f aca="false">+'Coût du projet'!B37</f>
        <v>25000</v>
      </c>
      <c r="C29" s="325"/>
      <c r="D29" s="326"/>
      <c r="E29" s="67"/>
    </row>
    <row r="30" customFormat="false" ht="15.75" hidden="false" customHeight="true" outlineLevel="0" collapsed="false">
      <c r="A30" s="319" t="str">
        <f aca="false">+'Coût du projet'!A38</f>
        <v>Caisses de récolte</v>
      </c>
      <c r="B30" s="324" t="n">
        <f aca="false">+'Coût du projet'!B38</f>
        <v>30000</v>
      </c>
      <c r="C30" s="325"/>
      <c r="D30" s="326"/>
      <c r="E30" s="67"/>
    </row>
    <row r="31" customFormat="false" ht="15.75" hidden="false" customHeight="true" outlineLevel="0" collapsed="false">
      <c r="A31" s="319" t="str">
        <f aca="false">+'Coût du projet'!A39</f>
        <v>Balance, pulvérisateur et séchoirs artisanaux</v>
      </c>
      <c r="B31" s="324" t="n">
        <f aca="false">+'Coût du projet'!B39</f>
        <v>90000</v>
      </c>
      <c r="C31" s="325"/>
      <c r="D31" s="326"/>
      <c r="E31" s="67"/>
    </row>
    <row r="32" customFormat="false" ht="15.75" hidden="false" customHeight="true" outlineLevel="0" collapsed="false">
      <c r="A32" s="315" t="s">
        <v>336</v>
      </c>
      <c r="B32" s="328" t="n">
        <v>0</v>
      </c>
      <c r="C32" s="323"/>
      <c r="D32" s="318"/>
      <c r="E32" s="67"/>
    </row>
    <row r="33" customFormat="false" ht="15.75" hidden="false" customHeight="true" outlineLevel="0" collapsed="false">
      <c r="A33" s="329" t="s">
        <v>337</v>
      </c>
      <c r="B33" s="326" t="n">
        <f aca="false">SUM(B7:B32)</f>
        <v>2259000</v>
      </c>
      <c r="C33" s="323"/>
      <c r="D33" s="318"/>
      <c r="E33" s="67"/>
    </row>
    <row r="34" customFormat="false" ht="15.75" hidden="false" customHeight="true" outlineLevel="0" collapsed="false">
      <c r="A34" s="315" t="s">
        <v>338</v>
      </c>
      <c r="B34" s="316"/>
      <c r="C34" s="321" t="s">
        <v>339</v>
      </c>
      <c r="D34" s="318"/>
      <c r="E34" s="67"/>
    </row>
    <row r="35" customFormat="false" ht="15.75" hidden="false" customHeight="true" outlineLevel="0" collapsed="false">
      <c r="A35" s="315" t="s">
        <v>340</v>
      </c>
      <c r="B35" s="316"/>
      <c r="C35" s="319" t="s">
        <v>341</v>
      </c>
      <c r="D35" s="318"/>
      <c r="E35" s="67"/>
    </row>
    <row r="36" customFormat="false" ht="15.75" hidden="false" customHeight="true" outlineLevel="0" collapsed="false">
      <c r="A36" s="319" t="s">
        <v>342</v>
      </c>
      <c r="B36" s="316"/>
      <c r="C36" s="319" t="s">
        <v>343</v>
      </c>
      <c r="D36" s="318"/>
      <c r="E36" s="67"/>
    </row>
    <row r="37" customFormat="false" ht="15.75" hidden="false" customHeight="true" outlineLevel="0" collapsed="false">
      <c r="A37" s="319" t="s">
        <v>344</v>
      </c>
      <c r="B37" s="316" t="n">
        <f aca="false">+'Coût du projet'!B41+'Coût du projet'!B42</f>
        <v>151875</v>
      </c>
      <c r="C37" s="319" t="s">
        <v>345</v>
      </c>
      <c r="D37" s="318"/>
      <c r="E37" s="67"/>
    </row>
    <row r="38" customFormat="false" ht="15.75" hidden="false" customHeight="true" outlineLevel="0" collapsed="false">
      <c r="A38" s="319" t="s">
        <v>346</v>
      </c>
      <c r="B38" s="316"/>
      <c r="C38" s="319" t="s">
        <v>347</v>
      </c>
      <c r="D38" s="318"/>
      <c r="E38" s="67"/>
    </row>
    <row r="39" customFormat="false" ht="15.75" hidden="false" customHeight="true" outlineLevel="0" collapsed="false">
      <c r="A39" s="319" t="s">
        <v>348</v>
      </c>
      <c r="B39" s="316"/>
      <c r="C39" s="319" t="s">
        <v>349</v>
      </c>
      <c r="D39" s="318"/>
      <c r="E39" s="67"/>
    </row>
    <row r="40" customFormat="false" ht="15.75" hidden="false" customHeight="true" outlineLevel="0" collapsed="false">
      <c r="A40" s="315" t="s">
        <v>350</v>
      </c>
      <c r="B40" s="316"/>
      <c r="C40" s="329" t="s">
        <v>351</v>
      </c>
      <c r="D40" s="326" t="n">
        <f aca="false">SUM(D34:D39)</f>
        <v>0</v>
      </c>
      <c r="E40" s="67"/>
    </row>
    <row r="41" customFormat="false" ht="15.75" hidden="false" customHeight="true" outlineLevel="0" collapsed="false">
      <c r="A41" s="319" t="s">
        <v>352</v>
      </c>
      <c r="B41" s="316"/>
      <c r="C41" s="323"/>
      <c r="D41" s="318"/>
      <c r="E41" s="67"/>
    </row>
    <row r="42" customFormat="false" ht="15.75" hidden="false" customHeight="true" outlineLevel="0" collapsed="false">
      <c r="A42" s="319" t="s">
        <v>353</v>
      </c>
      <c r="B42" s="316"/>
      <c r="C42" s="315" t="s">
        <v>354</v>
      </c>
      <c r="D42" s="318"/>
      <c r="E42" s="67"/>
    </row>
    <row r="43" customFormat="false" ht="15.75" hidden="false" customHeight="true" outlineLevel="0" collapsed="false">
      <c r="A43" s="319" t="s">
        <v>355</v>
      </c>
      <c r="B43" s="316"/>
      <c r="C43" s="319" t="s">
        <v>356</v>
      </c>
      <c r="D43" s="318"/>
      <c r="E43" s="67"/>
    </row>
    <row r="44" customFormat="false" ht="15.75" hidden="false" customHeight="true" outlineLevel="0" collapsed="false">
      <c r="A44" s="318"/>
      <c r="B44" s="316"/>
      <c r="C44" s="319" t="s">
        <v>357</v>
      </c>
      <c r="D44" s="318"/>
      <c r="E44" s="67"/>
    </row>
    <row r="45" customFormat="false" ht="15.75" hidden="false" customHeight="true" outlineLevel="0" collapsed="false">
      <c r="A45" s="329" t="s">
        <v>358</v>
      </c>
      <c r="B45" s="326" t="n">
        <f aca="false">SUM(B34:B43)</f>
        <v>151875</v>
      </c>
      <c r="C45" s="323"/>
      <c r="D45" s="318"/>
      <c r="E45" s="67"/>
    </row>
    <row r="46" customFormat="false" ht="15.75" hidden="false" customHeight="true" outlineLevel="0" collapsed="false">
      <c r="A46" s="323"/>
      <c r="B46" s="316"/>
      <c r="C46" s="329" t="s">
        <v>359</v>
      </c>
      <c r="D46" s="326" t="n">
        <f aca="false">SUM(D41:D45)</f>
        <v>0</v>
      </c>
      <c r="E46" s="67"/>
    </row>
    <row r="47" customFormat="false" ht="15.75" hidden="false" customHeight="true" outlineLevel="0" collapsed="false">
      <c r="A47" s="319" t="s">
        <v>360</v>
      </c>
      <c r="B47" s="316"/>
      <c r="C47" s="323"/>
      <c r="D47" s="318"/>
      <c r="E47" s="67"/>
    </row>
    <row r="48" customFormat="false" ht="15.75" hidden="false" customHeight="true" outlineLevel="0" collapsed="false">
      <c r="A48" s="319" t="s">
        <v>361</v>
      </c>
      <c r="B48" s="316"/>
      <c r="C48" s="323"/>
      <c r="D48" s="318"/>
      <c r="E48" s="67"/>
    </row>
    <row r="49" customFormat="false" ht="15.75" hidden="false" customHeight="true" outlineLevel="0" collapsed="false">
      <c r="A49" s="319" t="s">
        <v>362</v>
      </c>
      <c r="B49" s="316" t="n">
        <f aca="false">+B86-B45-B33+B32</f>
        <v>648125</v>
      </c>
      <c r="C49" s="323"/>
      <c r="D49" s="318"/>
      <c r="E49" s="67"/>
    </row>
    <row r="50" customFormat="false" ht="15.75" hidden="false" customHeight="true" outlineLevel="0" collapsed="false">
      <c r="A50" s="329" t="s">
        <v>363</v>
      </c>
      <c r="B50" s="326" t="n">
        <f aca="false">SUM(B46:B49)</f>
        <v>648125</v>
      </c>
      <c r="C50" s="323"/>
      <c r="D50" s="318"/>
      <c r="E50" s="67"/>
    </row>
    <row r="51" customFormat="false" ht="15.75" hidden="false" customHeight="true" outlineLevel="0" collapsed="false">
      <c r="A51" s="330"/>
      <c r="B51" s="331"/>
      <c r="C51" s="332"/>
      <c r="D51" s="333"/>
      <c r="E51" s="67"/>
    </row>
    <row r="52" s="336" customFormat="true" ht="21" hidden="false" customHeight="true" outlineLevel="0" collapsed="false">
      <c r="A52" s="334" t="s">
        <v>364</v>
      </c>
      <c r="B52" s="76" t="n">
        <f aca="false">B33+B45+B50</f>
        <v>3059000</v>
      </c>
      <c r="C52" s="334" t="s">
        <v>365</v>
      </c>
      <c r="D52" s="76" t="n">
        <f aca="false">D46+D40+D24</f>
        <v>3059000</v>
      </c>
      <c r="E52" s="67"/>
      <c r="F52" s="335" t="n">
        <f aca="false">+D52-B52</f>
        <v>0</v>
      </c>
    </row>
    <row r="53" customFormat="false" ht="19.5" hidden="false" customHeight="true" outlineLevel="0" collapsed="false">
      <c r="A53" s="67"/>
      <c r="B53" s="67"/>
      <c r="C53" s="67"/>
      <c r="D53" s="67"/>
      <c r="E53" s="67"/>
    </row>
    <row r="54" customFormat="false" ht="15.75" hidden="false" customHeight="true" outlineLevel="0" collapsed="false">
      <c r="A54" s="337"/>
      <c r="B54" s="338"/>
      <c r="D54" s="339"/>
    </row>
    <row r="86" customFormat="false" ht="14.25" hidden="true" customHeight="true" outlineLevel="0" collapsed="false">
      <c r="B86" s="340" t="n">
        <f aca="false">+'Coût du projet'!C46</f>
        <v>3059000</v>
      </c>
    </row>
  </sheetData>
  <mergeCells count="1">
    <mergeCell ref="A4:D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1"/>
  <sheetViews>
    <sheetView showFormulas="false" showGridLines="true" showRowColHeaders="true" showZeros="true" rightToLeft="false" tabSelected="false" showOutlineSymbols="true" defaultGridColor="true" view="normal" topLeftCell="A15" colorId="64" zoomScale="90" zoomScaleNormal="90" zoomScalePageLayoutView="100" workbookViewId="0">
      <selection pane="topLeft" activeCell="B32" activeCellId="0" sqref="B32"/>
    </sheetView>
  </sheetViews>
  <sheetFormatPr defaultColWidth="11.453125" defaultRowHeight="13.5" zeroHeight="false" outlineLevelRow="0" outlineLevelCol="0"/>
  <cols>
    <col collapsed="false" customWidth="true" hidden="false" outlineLevel="0" max="1" min="1" style="341" width="51.54"/>
    <col collapsed="false" customWidth="true" hidden="false" outlineLevel="0" max="2" min="2" style="341" width="13.45"/>
    <col collapsed="false" customWidth="true" hidden="false" outlineLevel="0" max="3" min="3" style="342" width="22.45"/>
    <col collapsed="false" customWidth="true" hidden="false" outlineLevel="0" max="4" min="4" style="341" width="14.54"/>
    <col collapsed="false" customWidth="true" hidden="false" outlineLevel="0" max="5" min="5" style="341" width="3.45"/>
    <col collapsed="false" customWidth="false" hidden="false" outlineLevel="0" max="16384" min="6" style="341" width="11.45"/>
  </cols>
  <sheetData>
    <row r="1" customFormat="false" ht="15" hidden="false" customHeight="true" outlineLevel="0" collapsed="false">
      <c r="A1" s="67"/>
      <c r="B1" s="67"/>
      <c r="C1" s="343"/>
      <c r="D1" s="67"/>
      <c r="E1" s="67"/>
    </row>
    <row r="2" customFormat="false" ht="20.25" hidden="false" customHeight="true" outlineLevel="0" collapsed="false">
      <c r="A2" s="344" t="s">
        <v>366</v>
      </c>
      <c r="B2" s="345"/>
      <c r="C2" s="346"/>
      <c r="D2" s="345"/>
      <c r="E2" s="67"/>
    </row>
    <row r="3" customFormat="false" ht="15" hidden="false" customHeight="true" outlineLevel="0" collapsed="false">
      <c r="A3" s="347"/>
      <c r="B3" s="347"/>
      <c r="C3" s="348"/>
      <c r="D3" s="347"/>
      <c r="E3" s="67"/>
    </row>
    <row r="4" customFormat="false" ht="15" hidden="false" customHeight="true" outlineLevel="0" collapsed="false">
      <c r="A4" s="349" t="s">
        <v>367</v>
      </c>
      <c r="B4" s="349"/>
      <c r="C4" s="350"/>
      <c r="D4" s="349"/>
      <c r="E4" s="67"/>
    </row>
    <row r="5" customFormat="false" ht="15" hidden="false" customHeight="true" outlineLevel="0" collapsed="false">
      <c r="A5" s="351" t="s">
        <v>209</v>
      </c>
      <c r="B5" s="352" t="s">
        <v>210</v>
      </c>
      <c r="C5" s="353" t="s">
        <v>211</v>
      </c>
      <c r="D5" s="352" t="s">
        <v>212</v>
      </c>
      <c r="E5" s="67"/>
    </row>
    <row r="6" customFormat="false" ht="15" hidden="false" customHeight="true" outlineLevel="0" collapsed="false">
      <c r="A6" s="347" t="s">
        <v>220</v>
      </c>
      <c r="B6" s="354" t="n">
        <f aca="false">+'Compte d''exploitation'!B10</f>
        <v>825000</v>
      </c>
      <c r="C6" s="355" t="n">
        <f aca="false">+'Compte d''exploitation'!C10</f>
        <v>866250</v>
      </c>
      <c r="D6" s="354" t="n">
        <f aca="false">+'Compte d''exploitation'!D10</f>
        <v>866250</v>
      </c>
      <c r="E6" s="67"/>
    </row>
    <row r="7" customFormat="false" ht="15" hidden="false" customHeight="true" outlineLevel="0" collapsed="false">
      <c r="A7" s="347" t="s">
        <v>368</v>
      </c>
      <c r="B7" s="356" t="n">
        <f aca="false">+'Compte d''exploitation'!B19</f>
        <v>74250</v>
      </c>
      <c r="C7" s="357" t="n">
        <f aca="false">+'Compte d''exploitation'!C19</f>
        <v>77962.5</v>
      </c>
      <c r="D7" s="356" t="n">
        <f aca="false">+'Compte d''exploitation'!D19</f>
        <v>77962.5</v>
      </c>
      <c r="E7" s="67"/>
    </row>
    <row r="8" customFormat="false" ht="15" hidden="false" customHeight="true" outlineLevel="0" collapsed="false">
      <c r="A8" s="347" t="s">
        <v>259</v>
      </c>
      <c r="B8" s="356" t="n">
        <f aca="false">+'Compte d''exploitation'!B14</f>
        <v>966550</v>
      </c>
      <c r="C8" s="357" t="n">
        <f aca="false">+'Compte d''exploitation'!C14</f>
        <v>416550</v>
      </c>
      <c r="D8" s="356" t="n">
        <f aca="false">+'Compte d''exploitation'!D14</f>
        <v>416550</v>
      </c>
      <c r="E8" s="67"/>
    </row>
    <row r="9" customFormat="false" ht="15" hidden="false" customHeight="true" outlineLevel="0" collapsed="false">
      <c r="A9" s="347" t="s">
        <v>369</v>
      </c>
      <c r="B9" s="356" t="n">
        <f aca="false">+'Compte d''exploitation'!B13</f>
        <v>251725.11</v>
      </c>
      <c r="C9" s="357" t="n">
        <f aca="false">+'Compte d''exploitation'!C13</f>
        <v>202811.7</v>
      </c>
      <c r="D9" s="356" t="n">
        <f aca="false">+'Compte d''exploitation'!D13</f>
        <v>145547.22</v>
      </c>
      <c r="E9" s="67"/>
    </row>
    <row r="10" customFormat="false" ht="15" hidden="false" customHeight="true" outlineLevel="0" collapsed="false">
      <c r="A10" s="347" t="s">
        <v>370</v>
      </c>
      <c r="B10" s="356" t="n">
        <f aca="false">+'Compte d''exploitation'!B17</f>
        <v>4649224.89</v>
      </c>
      <c r="C10" s="357" t="n">
        <f aca="false">+'Compte d''exploitation'!C17</f>
        <v>5307438.3</v>
      </c>
      <c r="D10" s="356" t="n">
        <f aca="false">+'Compte d''exploitation'!D17</f>
        <v>5468226.78</v>
      </c>
      <c r="E10" s="67"/>
    </row>
    <row r="11" customFormat="false" ht="15" hidden="false" customHeight="true" outlineLevel="0" collapsed="false">
      <c r="A11" s="181" t="s">
        <v>371</v>
      </c>
      <c r="B11" s="358" t="n">
        <f aca="false">+SUM(B6:B10)</f>
        <v>6766750</v>
      </c>
      <c r="C11" s="358" t="n">
        <f aca="false">+SUM(C6:C10)</f>
        <v>6871012.5</v>
      </c>
      <c r="D11" s="358" t="n">
        <f aca="false">+SUM(D6:D10)</f>
        <v>6974536.5</v>
      </c>
      <c r="E11" s="67"/>
    </row>
    <row r="12" customFormat="false" ht="15" hidden="false" customHeight="true" outlineLevel="0" collapsed="false">
      <c r="A12" s="347"/>
      <c r="B12" s="347"/>
      <c r="C12" s="348"/>
      <c r="D12" s="347"/>
      <c r="E12" s="67"/>
    </row>
    <row r="13" customFormat="false" ht="15" hidden="false" customHeight="true" outlineLevel="0" collapsed="false">
      <c r="A13" s="181" t="s">
        <v>372</v>
      </c>
      <c r="B13" s="358" t="n">
        <f aca="false">+'Compte d''exploitation'!B6</f>
        <v>7600000</v>
      </c>
      <c r="C13" s="358" t="n">
        <f aca="false">+'Compte d''exploitation'!C6</f>
        <v>7752000</v>
      </c>
      <c r="D13" s="358" t="n">
        <f aca="false">+'Compte d''exploitation'!D6</f>
        <v>7907040</v>
      </c>
      <c r="E13" s="67"/>
    </row>
    <row r="14" customFormat="false" ht="15" hidden="false" customHeight="true" outlineLevel="0" collapsed="false">
      <c r="A14" s="347"/>
      <c r="B14" s="347"/>
      <c r="C14" s="348"/>
      <c r="D14" s="347"/>
      <c r="E14" s="67"/>
    </row>
    <row r="15" customFormat="false" ht="15" hidden="false" customHeight="true" outlineLevel="0" collapsed="false">
      <c r="A15" s="359" t="s">
        <v>373</v>
      </c>
      <c r="B15" s="360" t="n">
        <f aca="false">+(B11/B13)</f>
        <v>0.890361842105263</v>
      </c>
      <c r="C15" s="360" t="n">
        <f aca="false">+(C11/C13)</f>
        <v>0.886353521671827</v>
      </c>
      <c r="D15" s="360" t="n">
        <f aca="false">+(D11/D13)</f>
        <v>0.882066677290111</v>
      </c>
      <c r="E15" s="67"/>
      <c r="I15" s="361" t="n">
        <v>0</v>
      </c>
    </row>
    <row r="16" customFormat="false" ht="15" hidden="false" customHeight="true" outlineLevel="0" collapsed="false">
      <c r="E16" s="67"/>
    </row>
    <row r="17" customFormat="false" ht="15" hidden="false" customHeight="true" outlineLevel="0" collapsed="false">
      <c r="A17" s="362" t="s">
        <v>374</v>
      </c>
      <c r="B17" s="363"/>
      <c r="C17" s="364" t="n">
        <f aca="false">+AVERAGE(B15:D15)</f>
        <v>0.886260680355734</v>
      </c>
      <c r="D17" s="363"/>
      <c r="E17" s="67"/>
    </row>
    <row r="18" customFormat="false" ht="15" hidden="false" customHeight="true" outlineLevel="0" collapsed="false">
      <c r="E18" s="67"/>
    </row>
    <row r="19" customFormat="false" ht="15" hidden="false" customHeight="true" outlineLevel="0" collapsed="false">
      <c r="A19" s="365" t="s">
        <v>375</v>
      </c>
      <c r="B19" s="366"/>
      <c r="C19" s="367"/>
      <c r="E19" s="67"/>
    </row>
    <row r="20" customFormat="false" ht="15" hidden="false" customHeight="true" outlineLevel="0" collapsed="false">
      <c r="A20" s="351" t="s">
        <v>70</v>
      </c>
      <c r="B20" s="351" t="s">
        <v>376</v>
      </c>
      <c r="C20" s="368" t="s">
        <v>377</v>
      </c>
      <c r="E20" s="67"/>
    </row>
    <row r="21" customFormat="false" ht="15" hidden="false" customHeight="true" outlineLevel="0" collapsed="false">
      <c r="A21" s="369" t="s">
        <v>378</v>
      </c>
      <c r="B21" s="370"/>
      <c r="C21" s="356" t="n">
        <f aca="false">+'Compte d''exploitation'!D9</f>
        <v>695466</v>
      </c>
      <c r="E21" s="67"/>
    </row>
    <row r="22" customFormat="false" ht="15" hidden="false" customHeight="true" outlineLevel="0" collapsed="false">
      <c r="A22" s="369" t="s">
        <v>379</v>
      </c>
      <c r="B22" s="370" t="n">
        <f aca="false">+'Compte d''exploitation'!E10</f>
        <v>866250</v>
      </c>
      <c r="C22" s="356"/>
      <c r="E22" s="67"/>
    </row>
    <row r="23" customFormat="false" ht="15" hidden="false" customHeight="true" outlineLevel="0" collapsed="false">
      <c r="A23" s="369" t="s">
        <v>264</v>
      </c>
      <c r="B23" s="370" t="n">
        <f aca="false">+'Compte d''exploitation'!E19</f>
        <v>77962.5</v>
      </c>
      <c r="C23" s="356"/>
      <c r="E23" s="67"/>
    </row>
    <row r="24" customFormat="false" ht="17.25" hidden="false" customHeight="true" outlineLevel="0" collapsed="false">
      <c r="A24" s="369" t="s">
        <v>256</v>
      </c>
      <c r="B24" s="370"/>
      <c r="C24" s="356" t="n">
        <f aca="false">+'Compte d''exploitation'!D11</f>
        <v>315000</v>
      </c>
      <c r="E24" s="67"/>
      <c r="J24" s="361" t="n">
        <v>0</v>
      </c>
    </row>
    <row r="25" customFormat="false" ht="15" hidden="false" customHeight="true" outlineLevel="0" collapsed="false">
      <c r="A25" s="369" t="str">
        <f aca="false">+'Compte d''exploitation'!A12</f>
        <v>Autres charges</v>
      </c>
      <c r="B25" s="370"/>
      <c r="C25" s="356" t="n">
        <f aca="false">+'Compte d''exploitation'!D12</f>
        <v>0</v>
      </c>
      <c r="E25" s="67"/>
      <c r="J25" s="341" t="n">
        <v>0</v>
      </c>
    </row>
    <row r="26" customFormat="false" ht="15" hidden="false" customHeight="true" outlineLevel="0" collapsed="false">
      <c r="A26" s="369" t="s">
        <v>380</v>
      </c>
      <c r="B26" s="370" t="n">
        <f aca="false">+'Compte d''exploitation'!D13</f>
        <v>145547.22</v>
      </c>
      <c r="C26" s="356"/>
      <c r="E26" s="67"/>
    </row>
    <row r="27" customFormat="false" ht="15" hidden="false" customHeight="true" outlineLevel="0" collapsed="false">
      <c r="A27" s="181" t="s">
        <v>218</v>
      </c>
      <c r="B27" s="371" t="n">
        <f aca="false">+SUM(B21:B26)</f>
        <v>1089759.72</v>
      </c>
      <c r="C27" s="372" t="n">
        <f aca="false">+SUM(C21:C26)</f>
        <v>1010466</v>
      </c>
      <c r="E27" s="67"/>
    </row>
    <row r="28" customFormat="false" ht="10.5" hidden="false" customHeight="true" outlineLevel="0" collapsed="false">
      <c r="E28" s="67"/>
    </row>
    <row r="29" customFormat="false" ht="18" hidden="false" customHeight="true" outlineLevel="0" collapsed="false">
      <c r="A29" s="366" t="s">
        <v>381</v>
      </c>
      <c r="B29" s="373" t="n">
        <f aca="false">+(B27/(D13-C27))</f>
        <v>0.158014649012684</v>
      </c>
      <c r="C29" s="374" t="s">
        <v>382</v>
      </c>
      <c r="E29" s="67"/>
    </row>
    <row r="30" customFormat="false" ht="9" hidden="false" customHeight="true" outlineLevel="0" collapsed="false">
      <c r="E30" s="67"/>
    </row>
    <row r="31" customFormat="false" ht="15" hidden="false" customHeight="true" outlineLevel="0" collapsed="false">
      <c r="A31" s="366" t="s">
        <v>383</v>
      </c>
      <c r="B31" s="375" t="n">
        <f aca="false">+'Compte de tresorerie'!D27</f>
        <v>1.82220822889539</v>
      </c>
      <c r="C31" s="367"/>
      <c r="E31" s="67"/>
    </row>
    <row r="32" customFormat="false" ht="10.5" hidden="false" customHeight="true" outlineLevel="0" collapsed="false">
      <c r="E32" s="67"/>
    </row>
    <row r="33" customFormat="false" ht="15" hidden="false" customHeight="true" outlineLevel="0" collapsed="false">
      <c r="A33" s="365" t="s">
        <v>384</v>
      </c>
      <c r="B33" s="376" t="n">
        <f aca="false">+'Compte de tresorerie'!D29</f>
        <v>20076465.5069311</v>
      </c>
      <c r="C33" s="367" t="s">
        <v>385</v>
      </c>
      <c r="E33" s="67"/>
    </row>
    <row r="34" customFormat="false" ht="6.75" hidden="false" customHeight="true" outlineLevel="0" collapsed="false">
      <c r="E34" s="67"/>
    </row>
    <row r="35" customFormat="false" ht="15" hidden="false" customHeight="true" outlineLevel="0" collapsed="false">
      <c r="A35" s="365" t="s">
        <v>386</v>
      </c>
      <c r="B35" s="376"/>
      <c r="C35" s="367"/>
      <c r="E35" s="67"/>
    </row>
    <row r="36" customFormat="false" ht="15" hidden="false" customHeight="true" outlineLevel="0" collapsed="false">
      <c r="A36" s="377" t="s">
        <v>387</v>
      </c>
      <c r="B36" s="378"/>
      <c r="C36" s="379" t="str">
        <f aca="false">+'Compte de tresorerie'!B42</f>
        <v>0 an(s) et 7 mois</v>
      </c>
      <c r="E36" s="67"/>
    </row>
    <row r="37" customFormat="false" ht="15" hidden="false" customHeight="true" outlineLevel="0" collapsed="false">
      <c r="A37" s="377" t="s">
        <v>388</v>
      </c>
      <c r="B37" s="380" t="n">
        <f aca="false">+'Compte de tresorerie'!A24</f>
        <v>0.08</v>
      </c>
      <c r="C37" s="379" t="str">
        <f aca="false">+'Compte de tresorerie'!B51</f>
        <v>0 an(s) et 7 mois</v>
      </c>
      <c r="E37" s="67"/>
    </row>
    <row r="38" customFormat="false" ht="15" hidden="false" customHeight="true" outlineLevel="0" collapsed="false">
      <c r="E38" s="67"/>
    </row>
    <row r="39" customFormat="false" ht="29.25" hidden="false" customHeight="true" outlineLevel="0" collapsed="false">
      <c r="A39" s="381" t="s">
        <v>389</v>
      </c>
      <c r="B39" s="382" t="n">
        <f aca="false">+'Compte de tresorerie'!E11/'Ratios d''analyse'!D13</f>
        <v>0.681704440599769</v>
      </c>
      <c r="C39" s="367"/>
      <c r="E39" s="67"/>
    </row>
    <row r="40" customFormat="false" ht="4.5" hidden="false" customHeight="true" outlineLevel="0" collapsed="false">
      <c r="A40" s="383"/>
      <c r="B40" s="384"/>
      <c r="D40" s="385"/>
      <c r="E40" s="67"/>
    </row>
    <row r="41" customFormat="false" ht="18" hidden="false" customHeight="true" outlineLevel="0" collapsed="false">
      <c r="A41" s="67"/>
      <c r="B41" s="67"/>
      <c r="C41" s="343"/>
      <c r="D41" s="67"/>
      <c r="E41" s="6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P16" activeCellId="0" sqref="P16"/>
    </sheetView>
  </sheetViews>
  <sheetFormatPr defaultColWidth="11.453125" defaultRowHeight="14.25" zeroHeight="false" outlineLevelRow="0" outlineLevelCol="0"/>
  <cols>
    <col collapsed="false" customWidth="true" hidden="false" outlineLevel="0" max="1" min="1" style="386" width="36.18"/>
    <col collapsed="false" customWidth="true" hidden="false" outlineLevel="0" max="2" min="2" style="66" width="12.45"/>
    <col collapsed="false" customWidth="true" hidden="false" outlineLevel="0" max="3" min="3" style="66" width="12.18"/>
    <col collapsed="false" customWidth="true" hidden="false" outlineLevel="0" max="4" min="4" style="66" width="12.27"/>
    <col collapsed="false" customWidth="true" hidden="false" outlineLevel="0" max="5" min="5" style="66" width="12.54"/>
    <col collapsed="false" customWidth="true" hidden="false" outlineLevel="0" max="7" min="6" style="66" width="13.27"/>
    <col collapsed="false" customWidth="false" hidden="false" outlineLevel="0" max="8" min="8" style="66" width="11.45"/>
    <col collapsed="false" customWidth="true" hidden="false" outlineLevel="0" max="9" min="9" style="66" width="11.27"/>
    <col collapsed="false" customWidth="true" hidden="false" outlineLevel="0" max="11" min="10" style="66" width="11.54"/>
    <col collapsed="false" customWidth="true" hidden="false" outlineLevel="0" max="12" min="12" style="66" width="12.45"/>
    <col collapsed="false" customWidth="true" hidden="false" outlineLevel="0" max="13" min="13" style="66" width="13.27"/>
    <col collapsed="false" customWidth="true" hidden="false" outlineLevel="0" max="14" min="14" style="66" width="12.54"/>
    <col collapsed="false" customWidth="true" hidden="false" outlineLevel="0" max="15" min="15" style="386" width="6.45"/>
    <col collapsed="false" customWidth="false" hidden="false" outlineLevel="0" max="16384" min="16" style="386" width="11.45"/>
  </cols>
  <sheetData>
    <row r="1" customFormat="false" ht="15" hidden="false" customHeight="true" outlineLevel="0" collapsed="false">
      <c r="A1" s="67"/>
      <c r="B1" s="387"/>
      <c r="C1" s="388"/>
      <c r="D1" s="388"/>
      <c r="E1" s="388"/>
      <c r="F1" s="388"/>
      <c r="G1" s="388"/>
      <c r="H1" s="388"/>
      <c r="I1" s="388"/>
      <c r="J1" s="388"/>
      <c r="K1" s="388"/>
      <c r="L1" s="388"/>
      <c r="M1" s="388"/>
      <c r="N1" s="388"/>
      <c r="O1" s="389"/>
    </row>
    <row r="2" s="65" customFormat="true" ht="39" hidden="false" customHeight="true" outlineLevel="0" collapsed="false">
      <c r="A2" s="390" t="s">
        <v>390</v>
      </c>
      <c r="B2" s="391" t="s">
        <v>391</v>
      </c>
      <c r="C2" s="392" t="s">
        <v>392</v>
      </c>
      <c r="D2" s="392" t="s">
        <v>393</v>
      </c>
      <c r="E2" s="392" t="s">
        <v>394</v>
      </c>
      <c r="F2" s="392" t="s">
        <v>395</v>
      </c>
      <c r="G2" s="392" t="s">
        <v>396</v>
      </c>
      <c r="H2" s="392" t="s">
        <v>397</v>
      </c>
      <c r="I2" s="392" t="s">
        <v>398</v>
      </c>
      <c r="J2" s="392" t="s">
        <v>399</v>
      </c>
      <c r="K2" s="392" t="s">
        <v>400</v>
      </c>
      <c r="L2" s="392" t="s">
        <v>401</v>
      </c>
      <c r="M2" s="392" t="s">
        <v>402</v>
      </c>
      <c r="N2" s="393" t="s">
        <v>403</v>
      </c>
      <c r="O2" s="389"/>
    </row>
    <row r="3" customFormat="false" ht="15.75" hidden="false" customHeight="true" outlineLevel="0" collapsed="false">
      <c r="A3" s="394"/>
      <c r="B3" s="394"/>
      <c r="C3" s="394"/>
      <c r="D3" s="394"/>
      <c r="E3" s="394"/>
      <c r="F3" s="394"/>
      <c r="G3" s="394"/>
      <c r="H3" s="394"/>
      <c r="I3" s="394"/>
      <c r="J3" s="394"/>
      <c r="K3" s="394"/>
      <c r="L3" s="394"/>
      <c r="M3" s="394"/>
      <c r="N3" s="394"/>
      <c r="O3" s="389"/>
    </row>
    <row r="4" customFormat="false" ht="15" hidden="false" customHeight="true" outlineLevel="0" collapsed="false">
      <c r="A4" s="78" t="s">
        <v>271</v>
      </c>
      <c r="B4" s="79" t="n">
        <f aca="false">+'Compte de tresorerie'!B6</f>
        <v>305900</v>
      </c>
      <c r="C4" s="395"/>
      <c r="D4" s="395" t="n">
        <f aca="false">+C4</f>
        <v>0</v>
      </c>
      <c r="E4" s="395" t="n">
        <f aca="false">+D4</f>
        <v>0</v>
      </c>
      <c r="F4" s="395"/>
      <c r="G4" s="395"/>
      <c r="H4" s="395"/>
      <c r="I4" s="395"/>
      <c r="J4" s="395"/>
      <c r="K4" s="395"/>
      <c r="L4" s="395"/>
      <c r="M4" s="395"/>
      <c r="N4" s="395"/>
      <c r="O4" s="396" t="b">
        <f aca="false">+B4='Compte de tresorerie'!B6</f>
        <v>1</v>
      </c>
    </row>
    <row r="5" customFormat="false" ht="15" hidden="false" customHeight="true" outlineLevel="0" collapsed="false">
      <c r="A5" s="78" t="s">
        <v>272</v>
      </c>
      <c r="B5" s="79" t="n">
        <f aca="false">+'Compte de tresorerie'!B7</f>
        <v>2753100</v>
      </c>
      <c r="C5" s="395"/>
      <c r="D5" s="395" t="n">
        <f aca="false">C5</f>
        <v>0</v>
      </c>
      <c r="E5" s="395" t="n">
        <f aca="false">D5</f>
        <v>0</v>
      </c>
      <c r="F5" s="395"/>
      <c r="G5" s="395"/>
      <c r="H5" s="395" t="n">
        <f aca="false">G5</f>
        <v>0</v>
      </c>
      <c r="I5" s="395" t="n">
        <f aca="false">H5</f>
        <v>0</v>
      </c>
      <c r="J5" s="395" t="n">
        <f aca="false">I5</f>
        <v>0</v>
      </c>
      <c r="K5" s="395" t="n">
        <f aca="false">J5</f>
        <v>0</v>
      </c>
      <c r="L5" s="395" t="n">
        <f aca="false">K5</f>
        <v>0</v>
      </c>
      <c r="M5" s="395" t="n">
        <f aca="false">L5</f>
        <v>0</v>
      </c>
      <c r="N5" s="395" t="n">
        <f aca="false">M5</f>
        <v>0</v>
      </c>
      <c r="O5" s="396" t="b">
        <f aca="false">+B5='Compte de tresorerie'!B7</f>
        <v>1</v>
      </c>
    </row>
    <row r="6" customFormat="false" ht="15" hidden="false" customHeight="true" outlineLevel="0" collapsed="false">
      <c r="A6" s="78" t="s">
        <v>273</v>
      </c>
      <c r="B6" s="79" t="n">
        <f aca="false">+'Compte de tresorerie'!B8</f>
        <v>0</v>
      </c>
      <c r="C6" s="395"/>
      <c r="D6" s="395" t="n">
        <f aca="false">C6</f>
        <v>0</v>
      </c>
      <c r="E6" s="395" t="n">
        <f aca="false">D6</f>
        <v>0</v>
      </c>
      <c r="F6" s="395"/>
      <c r="G6" s="395"/>
      <c r="H6" s="395"/>
      <c r="I6" s="395"/>
      <c r="J6" s="395"/>
      <c r="K6" s="395"/>
      <c r="L6" s="395"/>
      <c r="M6" s="395"/>
      <c r="N6" s="395"/>
      <c r="O6" s="396" t="b">
        <f aca="false">+B6='Compte de tresorerie'!B8</f>
        <v>1</v>
      </c>
    </row>
    <row r="7" customFormat="false" ht="15" hidden="false" customHeight="true" outlineLevel="0" collapsed="false">
      <c r="A7" s="78" t="s">
        <v>274</v>
      </c>
      <c r="B7" s="79" t="n">
        <f aca="false">+'Compte de tresorerie'!B9</f>
        <v>0</v>
      </c>
      <c r="C7" s="395"/>
      <c r="D7" s="395" t="n">
        <f aca="false">C7</f>
        <v>0</v>
      </c>
      <c r="E7" s="395" t="n">
        <f aca="false">D7</f>
        <v>0</v>
      </c>
      <c r="F7" s="395"/>
      <c r="G7" s="395"/>
      <c r="H7" s="395"/>
      <c r="I7" s="395"/>
      <c r="J7" s="395"/>
      <c r="K7" s="395"/>
      <c r="L7" s="395"/>
      <c r="M7" s="395"/>
      <c r="N7" s="395"/>
      <c r="O7" s="396" t="b">
        <f aca="false">+B7='Compte de tresorerie'!B9</f>
        <v>1</v>
      </c>
    </row>
    <row r="8" customFormat="false" ht="15" hidden="false" customHeight="true" outlineLevel="0" collapsed="false">
      <c r="A8" s="78" t="s">
        <v>275</v>
      </c>
      <c r="B8" s="79" t="n">
        <f aca="false">+'Compte de tresorerie'!B10</f>
        <v>0</v>
      </c>
      <c r="C8" s="395" t="n">
        <f aca="false">+'Compte de tresorerie'!C10/12</f>
        <v>80545.8333333333</v>
      </c>
      <c r="D8" s="395" t="n">
        <f aca="false">C8</f>
        <v>80545.8333333333</v>
      </c>
      <c r="E8" s="395" t="n">
        <f aca="false">D8</f>
        <v>80545.8333333333</v>
      </c>
      <c r="F8" s="395" t="n">
        <f aca="false">+E8</f>
        <v>80545.8333333333</v>
      </c>
      <c r="G8" s="395" t="n">
        <f aca="false">+F8</f>
        <v>80545.8333333333</v>
      </c>
      <c r="H8" s="395" t="n">
        <f aca="false">+G8</f>
        <v>80545.8333333333</v>
      </c>
      <c r="I8" s="395" t="n">
        <f aca="false">+H8</f>
        <v>80545.8333333333</v>
      </c>
      <c r="J8" s="395" t="n">
        <f aca="false">+I8</f>
        <v>80545.8333333333</v>
      </c>
      <c r="K8" s="395" t="n">
        <f aca="false">+J8</f>
        <v>80545.8333333333</v>
      </c>
      <c r="L8" s="395" t="n">
        <f aca="false">+K8</f>
        <v>80545.8333333333</v>
      </c>
      <c r="M8" s="395" t="n">
        <f aca="false">+L8</f>
        <v>80545.8333333333</v>
      </c>
      <c r="N8" s="395" t="n">
        <f aca="false">+M8</f>
        <v>80545.8333333333</v>
      </c>
      <c r="O8" s="396" t="b">
        <f aca="false">SUM(C8:N8)='Compte de tresorerie'!C10</f>
        <v>1</v>
      </c>
    </row>
    <row r="9" customFormat="false" ht="15" hidden="false" customHeight="true" outlineLevel="0" collapsed="false">
      <c r="A9" s="78" t="s">
        <v>265</v>
      </c>
      <c r="B9" s="79" t="n">
        <f aca="false">+'Compte de tresorerie'!B11</f>
        <v>0</v>
      </c>
      <c r="C9" s="395" t="n">
        <f aca="false">+'Compte de tresorerie'!C11/12</f>
        <v>381247.9075</v>
      </c>
      <c r="D9" s="395" t="n">
        <f aca="false">C9</f>
        <v>381247.9075</v>
      </c>
      <c r="E9" s="395" t="n">
        <f aca="false">D9</f>
        <v>381247.9075</v>
      </c>
      <c r="F9" s="395" t="n">
        <f aca="false">+E9</f>
        <v>381247.9075</v>
      </c>
      <c r="G9" s="395" t="n">
        <f aca="false">+F9</f>
        <v>381247.9075</v>
      </c>
      <c r="H9" s="395" t="n">
        <f aca="false">+G9</f>
        <v>381247.9075</v>
      </c>
      <c r="I9" s="395" t="n">
        <f aca="false">+H9</f>
        <v>381247.9075</v>
      </c>
      <c r="J9" s="395" t="n">
        <f aca="false">+I9</f>
        <v>381247.9075</v>
      </c>
      <c r="K9" s="395" t="n">
        <f aca="false">+J9</f>
        <v>381247.9075</v>
      </c>
      <c r="L9" s="395" t="n">
        <f aca="false">+K9</f>
        <v>381247.9075</v>
      </c>
      <c r="M9" s="395" t="n">
        <f aca="false">+L9</f>
        <v>381247.9075</v>
      </c>
      <c r="N9" s="395" t="n">
        <f aca="false">+M9</f>
        <v>381247.9075</v>
      </c>
      <c r="O9" s="396" t="b">
        <f aca="false">SUM(C9:N9)='Compte de tresorerie'!C11</f>
        <v>1</v>
      </c>
    </row>
    <row r="10" customFormat="false" ht="15" hidden="false" customHeight="true" outlineLevel="0" collapsed="false">
      <c r="A10" s="349" t="s">
        <v>404</v>
      </c>
      <c r="B10" s="397"/>
      <c r="C10" s="398" t="n">
        <f aca="false">SUM(C3:C9)</f>
        <v>461793.740833333</v>
      </c>
      <c r="D10" s="398" t="n">
        <f aca="false">SUM(D3:D9)</f>
        <v>461793.740833333</v>
      </c>
      <c r="E10" s="398" t="n">
        <f aca="false">SUM(E3:E9)</f>
        <v>461793.740833333</v>
      </c>
      <c r="F10" s="398" t="n">
        <f aca="false">SUM(F3:F9)</f>
        <v>461793.740833333</v>
      </c>
      <c r="G10" s="398" t="n">
        <f aca="false">SUM(G3:G9)</f>
        <v>461793.740833333</v>
      </c>
      <c r="H10" s="398" t="n">
        <f aca="false">SUM(H3:H9)</f>
        <v>461793.740833333</v>
      </c>
      <c r="I10" s="398" t="n">
        <f aca="false">SUM(I3:I9)</f>
        <v>461793.740833333</v>
      </c>
      <c r="J10" s="398" t="n">
        <f aca="false">SUM(J3:J9)</f>
        <v>461793.740833333</v>
      </c>
      <c r="K10" s="398" t="n">
        <f aca="false">SUM(K3:K9)</f>
        <v>461793.740833333</v>
      </c>
      <c r="L10" s="398" t="n">
        <f aca="false">SUM(L3:L9)</f>
        <v>461793.740833333</v>
      </c>
      <c r="M10" s="398" t="n">
        <f aca="false">SUM(M3:M9)</f>
        <v>461793.740833333</v>
      </c>
      <c r="N10" s="398" t="n">
        <f aca="false">SUM(N3:N9)</f>
        <v>461793.740833333</v>
      </c>
      <c r="O10" s="389"/>
    </row>
    <row r="11" customFormat="false" ht="15" hidden="false" customHeight="true" outlineLevel="0" collapsed="false">
      <c r="A11" s="399" t="s">
        <v>278</v>
      </c>
      <c r="B11" s="79" t="n">
        <f aca="false">+'Compte de tresorerie'!B14</f>
        <v>550000</v>
      </c>
      <c r="C11" s="395"/>
      <c r="D11" s="395" t="n">
        <f aca="false">C11</f>
        <v>0</v>
      </c>
      <c r="E11" s="395" t="n">
        <f aca="false">D11</f>
        <v>0</v>
      </c>
      <c r="F11" s="395" t="n">
        <f aca="false">E11</f>
        <v>0</v>
      </c>
      <c r="G11" s="395" t="n">
        <f aca="false">F11</f>
        <v>0</v>
      </c>
      <c r="H11" s="395" t="n">
        <f aca="false">G11</f>
        <v>0</v>
      </c>
      <c r="I11" s="395" t="n">
        <f aca="false">H11</f>
        <v>0</v>
      </c>
      <c r="J11" s="395" t="n">
        <f aca="false">I11</f>
        <v>0</v>
      </c>
      <c r="K11" s="395" t="n">
        <f aca="false">J11</f>
        <v>0</v>
      </c>
      <c r="L11" s="395" t="n">
        <f aca="false">K11</f>
        <v>0</v>
      </c>
      <c r="M11" s="395" t="n">
        <f aca="false">L11</f>
        <v>0</v>
      </c>
      <c r="N11" s="395" t="n">
        <f aca="false">M11</f>
        <v>0</v>
      </c>
      <c r="O11" s="389"/>
    </row>
    <row r="12" customFormat="false" ht="15" hidden="false" customHeight="true" outlineLevel="0" collapsed="false">
      <c r="A12" s="399" t="s">
        <v>279</v>
      </c>
      <c r="B12" s="79" t="n">
        <f aca="false">+'Compte de tresorerie'!B15</f>
        <v>1709000</v>
      </c>
      <c r="C12" s="395"/>
      <c r="D12" s="395"/>
      <c r="E12" s="395"/>
      <c r="F12" s="395"/>
      <c r="G12" s="395"/>
      <c r="H12" s="395"/>
      <c r="I12" s="395"/>
      <c r="J12" s="395"/>
      <c r="K12" s="395"/>
      <c r="L12" s="395"/>
      <c r="M12" s="395"/>
      <c r="N12" s="395"/>
      <c r="O12" s="389"/>
    </row>
    <row r="13" customFormat="false" ht="15" hidden="false" customHeight="true" outlineLevel="0" collapsed="false">
      <c r="A13" s="399" t="s">
        <v>280</v>
      </c>
      <c r="B13" s="79" t="n">
        <f aca="false">+'Compte de tresorerie'!B16</f>
        <v>800000</v>
      </c>
      <c r="C13" s="395"/>
      <c r="D13" s="395"/>
      <c r="E13" s="395"/>
      <c r="F13" s="395"/>
      <c r="G13" s="395"/>
      <c r="H13" s="395"/>
      <c r="I13" s="395"/>
      <c r="J13" s="395"/>
      <c r="K13" s="395"/>
      <c r="L13" s="395"/>
      <c r="M13" s="395"/>
      <c r="N13" s="395"/>
      <c r="O13" s="389"/>
    </row>
    <row r="14" customFormat="false" ht="15" hidden="false" customHeight="true" outlineLevel="0" collapsed="false">
      <c r="A14" s="399" t="s">
        <v>281</v>
      </c>
      <c r="B14" s="79"/>
      <c r="C14" s="395" t="n">
        <f aca="false">+'Compte de tresorerie'!C17/12</f>
        <v>25491.6666666667</v>
      </c>
      <c r="D14" s="395" t="n">
        <f aca="false">+C14</f>
        <v>25491.6666666667</v>
      </c>
      <c r="E14" s="395" t="n">
        <f aca="false">+D14</f>
        <v>25491.6666666667</v>
      </c>
      <c r="F14" s="395" t="n">
        <f aca="false">+E14</f>
        <v>25491.6666666667</v>
      </c>
      <c r="G14" s="395" t="n">
        <f aca="false">+F14</f>
        <v>25491.6666666667</v>
      </c>
      <c r="H14" s="395" t="n">
        <f aca="false">+G14</f>
        <v>25491.6666666667</v>
      </c>
      <c r="I14" s="395" t="n">
        <f aca="false">+H14</f>
        <v>25491.6666666667</v>
      </c>
      <c r="J14" s="395" t="n">
        <f aca="false">+I14</f>
        <v>25491.6666666667</v>
      </c>
      <c r="K14" s="395" t="n">
        <f aca="false">+J14</f>
        <v>25491.6666666667</v>
      </c>
      <c r="L14" s="395" t="n">
        <f aca="false">+K14</f>
        <v>25491.6666666667</v>
      </c>
      <c r="M14" s="395" t="n">
        <f aca="false">+L14</f>
        <v>25491.6666666667</v>
      </c>
      <c r="N14" s="395" t="n">
        <f aca="false">+M14</f>
        <v>25491.6666666667</v>
      </c>
      <c r="O14" s="389"/>
    </row>
    <row r="15" customFormat="false" ht="15" hidden="false" customHeight="true" outlineLevel="0" collapsed="false">
      <c r="A15" s="349" t="s">
        <v>405</v>
      </c>
      <c r="B15" s="400" t="n">
        <f aca="false">SUM(B11:B14)</f>
        <v>3059000</v>
      </c>
      <c r="C15" s="400" t="n">
        <f aca="false">SUM(C11:C14)</f>
        <v>25491.6666666667</v>
      </c>
      <c r="D15" s="400" t="n">
        <f aca="false">SUM(D11:D14)</f>
        <v>25491.6666666667</v>
      </c>
      <c r="E15" s="400" t="n">
        <f aca="false">SUM(E11:E14)</f>
        <v>25491.6666666667</v>
      </c>
      <c r="F15" s="400" t="n">
        <f aca="false">SUM(F11:F14)</f>
        <v>25491.6666666667</v>
      </c>
      <c r="G15" s="400" t="n">
        <f aca="false">SUM(G11:G14)</f>
        <v>25491.6666666667</v>
      </c>
      <c r="H15" s="400" t="n">
        <f aca="false">SUM(H11:H14)</f>
        <v>25491.6666666667</v>
      </c>
      <c r="I15" s="400" t="n">
        <f aca="false">SUM(I11:I14)</f>
        <v>25491.6666666667</v>
      </c>
      <c r="J15" s="400" t="n">
        <f aca="false">SUM(J11:J14)</f>
        <v>25491.6666666667</v>
      </c>
      <c r="K15" s="400" t="n">
        <f aca="false">SUM(K11:K14)</f>
        <v>25491.6666666667</v>
      </c>
      <c r="L15" s="400" t="n">
        <f aca="false">SUM(L11:L14)</f>
        <v>25491.6666666667</v>
      </c>
      <c r="M15" s="400" t="n">
        <f aca="false">SUM(M11:M14)</f>
        <v>25491.6666666667</v>
      </c>
      <c r="N15" s="400" t="n">
        <f aca="false">SUM(N11:N14)</f>
        <v>25491.6666666667</v>
      </c>
      <c r="O15" s="389"/>
    </row>
    <row r="16" customFormat="false" ht="15.75" hidden="false" customHeight="true" outlineLevel="0" collapsed="false">
      <c r="A16" s="401"/>
      <c r="B16" s="401"/>
      <c r="C16" s="401"/>
      <c r="D16" s="401"/>
      <c r="E16" s="401"/>
      <c r="F16" s="401"/>
      <c r="G16" s="401"/>
      <c r="H16" s="401"/>
      <c r="I16" s="401"/>
      <c r="J16" s="401"/>
      <c r="K16" s="401"/>
      <c r="L16" s="401"/>
      <c r="M16" s="401"/>
      <c r="N16" s="401"/>
      <c r="O16" s="389"/>
    </row>
    <row r="17" s="403" customFormat="true" ht="15.75" hidden="false" customHeight="true" outlineLevel="0" collapsed="false">
      <c r="A17" s="351" t="s">
        <v>406</v>
      </c>
      <c r="B17" s="352"/>
      <c r="C17" s="353" t="n">
        <f aca="false">C10-C15</f>
        <v>436302.074166667</v>
      </c>
      <c r="D17" s="353" t="n">
        <f aca="false">D10-D15</f>
        <v>436302.074166667</v>
      </c>
      <c r="E17" s="353" t="n">
        <f aca="false">E10-E15</f>
        <v>436302.074166667</v>
      </c>
      <c r="F17" s="353" t="n">
        <f aca="false">F10-F15</f>
        <v>436302.074166667</v>
      </c>
      <c r="G17" s="353" t="n">
        <f aca="false">G10-G15</f>
        <v>436302.074166667</v>
      </c>
      <c r="H17" s="353" t="n">
        <f aca="false">H10-H15</f>
        <v>436302.074166667</v>
      </c>
      <c r="I17" s="353" t="n">
        <f aca="false">I10-I15</f>
        <v>436302.074166667</v>
      </c>
      <c r="J17" s="353" t="n">
        <f aca="false">J10-J15</f>
        <v>436302.074166667</v>
      </c>
      <c r="K17" s="353" t="n">
        <f aca="false">K10-K15</f>
        <v>436302.074166667</v>
      </c>
      <c r="L17" s="353" t="n">
        <f aca="false">L10-L15</f>
        <v>436302.074166667</v>
      </c>
      <c r="M17" s="353" t="n">
        <f aca="false">M10-M15</f>
        <v>436302.074166667</v>
      </c>
      <c r="N17" s="402" t="n">
        <f aca="false">N10-N15</f>
        <v>436302.074166667</v>
      </c>
      <c r="O17" s="389"/>
    </row>
    <row r="18" customFormat="false" ht="16.5" hidden="false" customHeight="true" outlineLevel="0" collapsed="false">
      <c r="A18" s="404"/>
      <c r="B18" s="404"/>
      <c r="C18" s="404"/>
      <c r="D18" s="404"/>
      <c r="E18" s="404"/>
      <c r="F18" s="404"/>
      <c r="G18" s="404"/>
      <c r="H18" s="404"/>
      <c r="I18" s="404"/>
      <c r="J18" s="404"/>
      <c r="K18" s="404"/>
      <c r="L18" s="404"/>
      <c r="M18" s="404"/>
      <c r="N18" s="404"/>
      <c r="O18" s="389"/>
    </row>
    <row r="19" s="403" customFormat="true" ht="15" hidden="false" customHeight="true" outlineLevel="0" collapsed="false">
      <c r="A19" s="351" t="s">
        <v>407</v>
      </c>
      <c r="B19" s="352"/>
      <c r="C19" s="353" t="n">
        <f aca="false">C17</f>
        <v>436302.074166667</v>
      </c>
      <c r="D19" s="353" t="n">
        <f aca="false">C19+D17</f>
        <v>872604.148333333</v>
      </c>
      <c r="E19" s="353" t="n">
        <f aca="false">D19+E17</f>
        <v>1308906.2225</v>
      </c>
      <c r="F19" s="353" t="n">
        <f aca="false">E19+F17</f>
        <v>1745208.29666667</v>
      </c>
      <c r="G19" s="353" t="n">
        <f aca="false">F19+G17</f>
        <v>2181510.37083333</v>
      </c>
      <c r="H19" s="353" t="n">
        <f aca="false">G19+H17</f>
        <v>2617812.445</v>
      </c>
      <c r="I19" s="353" t="n">
        <f aca="false">H19+I17</f>
        <v>3054114.51916667</v>
      </c>
      <c r="J19" s="353" t="n">
        <f aca="false">I19+J17</f>
        <v>3490416.59333333</v>
      </c>
      <c r="K19" s="353" t="n">
        <f aca="false">J19+K17</f>
        <v>3926718.6675</v>
      </c>
      <c r="L19" s="353" t="n">
        <f aca="false">K19+L17</f>
        <v>4363020.74166667</v>
      </c>
      <c r="M19" s="353" t="n">
        <f aca="false">L19+M17</f>
        <v>4799322.81583333</v>
      </c>
      <c r="N19" s="402" t="n">
        <f aca="false">M19+N17</f>
        <v>5235624.89</v>
      </c>
      <c r="O19" s="396" t="b">
        <f aca="false">+N19='Compte de tresorerie'!C21</f>
        <v>1</v>
      </c>
    </row>
    <row r="20" customFormat="false" ht="15" hidden="false" customHeight="true" outlineLevel="0" collapsed="false">
      <c r="A20" s="389"/>
      <c r="B20" s="405"/>
      <c r="C20" s="406"/>
      <c r="D20" s="406"/>
      <c r="E20" s="406"/>
      <c r="F20" s="406"/>
      <c r="G20" s="406"/>
      <c r="H20" s="406"/>
      <c r="I20" s="406"/>
      <c r="J20" s="406"/>
      <c r="K20" s="406"/>
      <c r="L20" s="406"/>
      <c r="M20" s="406"/>
      <c r="N20" s="406"/>
      <c r="O20" s="389"/>
    </row>
  </sheetData>
  <mergeCells count="3">
    <mergeCell ref="A3:N3"/>
    <mergeCell ref="A16:N16"/>
    <mergeCell ref="A18:N1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4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G8" activeCellId="0" sqref="G8"/>
    </sheetView>
  </sheetViews>
  <sheetFormatPr defaultColWidth="11.453125" defaultRowHeight="14.25" zeroHeight="false" outlineLevelRow="0" outlineLevelCol="0"/>
  <cols>
    <col collapsed="false" customWidth="true" hidden="false" outlineLevel="0" max="1" min="1" style="407" width="37.54"/>
    <col collapsed="false" customWidth="true" hidden="false" outlineLevel="0" max="2" min="2" style="408" width="11.73"/>
    <col collapsed="false" customWidth="true" hidden="false" outlineLevel="0" max="3" min="3" style="408" width="12.45"/>
    <col collapsed="false" customWidth="true" hidden="false" outlineLevel="0" max="4" min="4" style="408" width="11.82"/>
    <col collapsed="false" customWidth="true" hidden="false" outlineLevel="0" max="5" min="5" style="408" width="11.09"/>
    <col collapsed="false" customWidth="true" hidden="false" outlineLevel="0" max="6" min="6" style="408" width="11.73"/>
    <col collapsed="false" customWidth="true" hidden="false" outlineLevel="0" max="7" min="7" style="408" width="11.27"/>
    <col collapsed="false" customWidth="true" hidden="false" outlineLevel="0" max="8" min="8" style="408" width="12"/>
    <col collapsed="false" customWidth="false" hidden="false" outlineLevel="0" max="9" min="9" style="408" width="11.45"/>
    <col collapsed="false" customWidth="true" hidden="false" outlineLevel="0" max="10" min="10" style="408" width="11.54"/>
    <col collapsed="false" customWidth="true" hidden="false" outlineLevel="0" max="11" min="11" style="408" width="12.45"/>
    <col collapsed="false" customWidth="true" hidden="false" outlineLevel="0" max="12" min="12" style="408" width="12.18"/>
    <col collapsed="false" customWidth="true" hidden="false" outlineLevel="0" max="13" min="13" style="408" width="11.09"/>
    <col collapsed="false" customWidth="true" hidden="false" outlineLevel="0" max="14" min="14" style="409" width="5.45"/>
    <col collapsed="false" customWidth="false" hidden="false" outlineLevel="0" max="16384" min="15" style="65" width="11.45"/>
  </cols>
  <sheetData>
    <row r="1" customFormat="false" ht="15" hidden="false" customHeight="true" outlineLevel="0" collapsed="false">
      <c r="A1" s="67"/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410"/>
    </row>
    <row r="2" customFormat="false" ht="15" hidden="false" customHeight="true" outlineLevel="0" collapsed="false">
      <c r="A2" s="411" t="s">
        <v>110</v>
      </c>
      <c r="B2" s="412" t="s">
        <v>392</v>
      </c>
      <c r="C2" s="412" t="s">
        <v>393</v>
      </c>
      <c r="D2" s="412" t="s">
        <v>408</v>
      </c>
      <c r="E2" s="412" t="s">
        <v>395</v>
      </c>
      <c r="F2" s="412" t="s">
        <v>396</v>
      </c>
      <c r="G2" s="412" t="s">
        <v>397</v>
      </c>
      <c r="H2" s="412" t="s">
        <v>398</v>
      </c>
      <c r="I2" s="412" t="s">
        <v>399</v>
      </c>
      <c r="J2" s="412" t="s">
        <v>400</v>
      </c>
      <c r="K2" s="412" t="s">
        <v>401</v>
      </c>
      <c r="L2" s="412" t="s">
        <v>402</v>
      </c>
      <c r="M2" s="412" t="s">
        <v>403</v>
      </c>
      <c r="N2" s="389"/>
    </row>
    <row r="3" customFormat="false" ht="15" hidden="false" customHeight="true" outlineLevel="0" collapsed="false">
      <c r="A3" s="413" t="s">
        <v>409</v>
      </c>
      <c r="B3" s="414"/>
      <c r="C3" s="414"/>
      <c r="D3" s="414"/>
      <c r="E3" s="414"/>
      <c r="F3" s="414"/>
      <c r="G3" s="414"/>
      <c r="H3" s="414"/>
      <c r="I3" s="414"/>
      <c r="J3" s="414"/>
      <c r="K3" s="414"/>
      <c r="L3" s="414"/>
      <c r="M3" s="414"/>
      <c r="N3" s="389"/>
    </row>
    <row r="4" customFormat="false" ht="15" hidden="false" customHeight="true" outlineLevel="0" collapsed="false">
      <c r="A4" s="415" t="str">
        <f aca="false">+'Eléments du compte d''exploitati'!A7</f>
        <v>Vente piment frais</v>
      </c>
      <c r="B4" s="416" t="n">
        <f aca="false">+'Eléments du compte d''exploitati'!B7/12</f>
        <v>533333.333333333</v>
      </c>
      <c r="C4" s="416" t="n">
        <f aca="false">B4</f>
        <v>533333.333333333</v>
      </c>
      <c r="D4" s="416" t="n">
        <f aca="false">C4</f>
        <v>533333.333333333</v>
      </c>
      <c r="E4" s="416" t="n">
        <f aca="false">D4</f>
        <v>533333.333333333</v>
      </c>
      <c r="F4" s="416" t="n">
        <f aca="false">E4</f>
        <v>533333.333333333</v>
      </c>
      <c r="G4" s="416" t="n">
        <f aca="false">F4</f>
        <v>533333.333333333</v>
      </c>
      <c r="H4" s="416" t="n">
        <f aca="false">G4</f>
        <v>533333.333333333</v>
      </c>
      <c r="I4" s="416" t="n">
        <f aca="false">H4</f>
        <v>533333.333333333</v>
      </c>
      <c r="J4" s="416" t="n">
        <f aca="false">I4</f>
        <v>533333.333333333</v>
      </c>
      <c r="K4" s="416" t="n">
        <f aca="false">J4</f>
        <v>533333.333333333</v>
      </c>
      <c r="L4" s="416" t="n">
        <f aca="false">K4</f>
        <v>533333.333333333</v>
      </c>
      <c r="M4" s="416" t="n">
        <f aca="false">L4</f>
        <v>533333.333333333</v>
      </c>
      <c r="N4" s="396" t="b">
        <f aca="false">+SUM(B4:M4)='Eléments du compte d''exploitati'!B7</f>
        <v>1</v>
      </c>
    </row>
    <row r="5" customFormat="false" ht="15" hidden="false" customHeight="true" outlineLevel="0" collapsed="false">
      <c r="A5" s="415" t="str">
        <f aca="false">+'Eléments du compte d''exploitati'!A8</f>
        <v>Vente piment séché</v>
      </c>
      <c r="B5" s="416" t="n">
        <f aca="false">+'Eléments du compte d''exploitati'!B8/12</f>
        <v>100000</v>
      </c>
      <c r="C5" s="416" t="n">
        <f aca="false">B5</f>
        <v>100000</v>
      </c>
      <c r="D5" s="416" t="n">
        <f aca="false">C5</f>
        <v>100000</v>
      </c>
      <c r="E5" s="416" t="n">
        <f aca="false">D5</f>
        <v>100000</v>
      </c>
      <c r="F5" s="416" t="n">
        <f aca="false">E5</f>
        <v>100000</v>
      </c>
      <c r="G5" s="416" t="n">
        <f aca="false">F5</f>
        <v>100000</v>
      </c>
      <c r="H5" s="416" t="n">
        <f aca="false">G5</f>
        <v>100000</v>
      </c>
      <c r="I5" s="416" t="n">
        <f aca="false">H5</f>
        <v>100000</v>
      </c>
      <c r="J5" s="416" t="n">
        <f aca="false">I5</f>
        <v>100000</v>
      </c>
      <c r="K5" s="416" t="n">
        <f aca="false">J5</f>
        <v>100000</v>
      </c>
      <c r="L5" s="416" t="n">
        <f aca="false">K5</f>
        <v>100000</v>
      </c>
      <c r="M5" s="416" t="n">
        <f aca="false">L5</f>
        <v>100000</v>
      </c>
      <c r="N5" s="396" t="b">
        <f aca="false">+SUM(B5:M5)='Eléments du compte d''exploitati'!B8</f>
        <v>1</v>
      </c>
    </row>
    <row r="6" customFormat="false" ht="15" hidden="false" customHeight="true" outlineLevel="0" collapsed="false">
      <c r="A6" s="415" t="n">
        <f aca="false">+'Eléments du compte d''exploitati'!A9</f>
        <v>0</v>
      </c>
      <c r="B6" s="416" t="n">
        <f aca="false">+'Eléments du compte d''exploitati'!B9/12</f>
        <v>0</v>
      </c>
      <c r="C6" s="416" t="n">
        <f aca="false">B6</f>
        <v>0</v>
      </c>
      <c r="D6" s="416" t="n">
        <f aca="false">C6</f>
        <v>0</v>
      </c>
      <c r="E6" s="416" t="n">
        <f aca="false">D6</f>
        <v>0</v>
      </c>
      <c r="F6" s="416" t="n">
        <f aca="false">E6</f>
        <v>0</v>
      </c>
      <c r="G6" s="416" t="n">
        <f aca="false">F6</f>
        <v>0</v>
      </c>
      <c r="H6" s="416" t="n">
        <f aca="false">G6</f>
        <v>0</v>
      </c>
      <c r="I6" s="416" t="n">
        <f aca="false">H6</f>
        <v>0</v>
      </c>
      <c r="J6" s="416" t="n">
        <f aca="false">I6</f>
        <v>0</v>
      </c>
      <c r="K6" s="416" t="n">
        <f aca="false">J6</f>
        <v>0</v>
      </c>
      <c r="L6" s="416" t="n">
        <f aca="false">K6</f>
        <v>0</v>
      </c>
      <c r="M6" s="416" t="n">
        <f aca="false">L6</f>
        <v>0</v>
      </c>
      <c r="N6" s="396" t="b">
        <f aca="false">+SUM(B6:M6)='Eléments du compte d''exploitati'!B9</f>
        <v>1</v>
      </c>
    </row>
    <row r="7" customFormat="false" ht="15" hidden="false" customHeight="true" outlineLevel="0" collapsed="false">
      <c r="A7" s="415" t="n">
        <f aca="false">+'Eléments du compte d''exploitati'!A10</f>
        <v>0</v>
      </c>
      <c r="B7" s="416" t="n">
        <f aca="false">+'Eléments du compte d''exploitati'!B10/12</f>
        <v>0</v>
      </c>
      <c r="C7" s="416" t="n">
        <f aca="false">B7</f>
        <v>0</v>
      </c>
      <c r="D7" s="416" t="n">
        <f aca="false">C7</f>
        <v>0</v>
      </c>
      <c r="E7" s="416" t="n">
        <f aca="false">D7</f>
        <v>0</v>
      </c>
      <c r="F7" s="416" t="n">
        <f aca="false">E7</f>
        <v>0</v>
      </c>
      <c r="G7" s="416" t="n">
        <f aca="false">F7</f>
        <v>0</v>
      </c>
      <c r="H7" s="416" t="n">
        <f aca="false">G7</f>
        <v>0</v>
      </c>
      <c r="I7" s="416" t="n">
        <f aca="false">H7</f>
        <v>0</v>
      </c>
      <c r="J7" s="416" t="n">
        <f aca="false">I7</f>
        <v>0</v>
      </c>
      <c r="K7" s="416" t="n">
        <f aca="false">J7</f>
        <v>0</v>
      </c>
      <c r="L7" s="416" t="n">
        <f aca="false">K7</f>
        <v>0</v>
      </c>
      <c r="M7" s="416" t="n">
        <f aca="false">L7</f>
        <v>0</v>
      </c>
      <c r="N7" s="396" t="b">
        <f aca="false">+SUM(B7:M7)='Eléments du compte d''exploitati'!B10</f>
        <v>1</v>
      </c>
    </row>
    <row r="8" customFormat="false" ht="15" hidden="false" customHeight="true" outlineLevel="0" collapsed="false">
      <c r="A8" s="415" t="n">
        <f aca="false">+'Eléments du compte d''exploitati'!A11</f>
        <v>0</v>
      </c>
      <c r="B8" s="416" t="n">
        <f aca="false">+'Eléments du compte d''exploitati'!B11/12</f>
        <v>0</v>
      </c>
      <c r="C8" s="416" t="n">
        <f aca="false">B8</f>
        <v>0</v>
      </c>
      <c r="D8" s="416" t="n">
        <f aca="false">C8</f>
        <v>0</v>
      </c>
      <c r="E8" s="416" t="n">
        <f aca="false">D8</f>
        <v>0</v>
      </c>
      <c r="F8" s="416" t="n">
        <f aca="false">E8</f>
        <v>0</v>
      </c>
      <c r="G8" s="416" t="n">
        <f aca="false">F8</f>
        <v>0</v>
      </c>
      <c r="H8" s="416" t="n">
        <f aca="false">G8</f>
        <v>0</v>
      </c>
      <c r="I8" s="416" t="n">
        <f aca="false">H8</f>
        <v>0</v>
      </c>
      <c r="J8" s="416" t="n">
        <f aca="false">I8</f>
        <v>0</v>
      </c>
      <c r="K8" s="416" t="n">
        <f aca="false">J8</f>
        <v>0</v>
      </c>
      <c r="L8" s="416" t="n">
        <f aca="false">K8</f>
        <v>0</v>
      </c>
      <c r="M8" s="416" t="n">
        <f aca="false">L8</f>
        <v>0</v>
      </c>
      <c r="N8" s="396" t="b">
        <f aca="false">+SUM(B8:M8)='Eléments du compte d''exploitati'!B11</f>
        <v>1</v>
      </c>
    </row>
    <row r="9" s="386" customFormat="true" ht="15" hidden="false" customHeight="true" outlineLevel="0" collapsed="false">
      <c r="A9" s="417" t="s">
        <v>410</v>
      </c>
      <c r="B9" s="350" t="n">
        <f aca="false">SUM(B4:B8)</f>
        <v>633333.333333333</v>
      </c>
      <c r="C9" s="350" t="n">
        <f aca="false">SUM(C4:C8)</f>
        <v>633333.333333333</v>
      </c>
      <c r="D9" s="350" t="n">
        <f aca="false">SUM(D4:D8)</f>
        <v>633333.333333333</v>
      </c>
      <c r="E9" s="350" t="n">
        <f aca="false">SUM(E4:E8)</f>
        <v>633333.333333333</v>
      </c>
      <c r="F9" s="350" t="n">
        <f aca="false">SUM(F4:F8)</f>
        <v>633333.333333333</v>
      </c>
      <c r="G9" s="350" t="n">
        <f aca="false">SUM(G4:G8)</f>
        <v>633333.333333333</v>
      </c>
      <c r="H9" s="350" t="n">
        <f aca="false">SUM(H4:H8)</f>
        <v>633333.333333333</v>
      </c>
      <c r="I9" s="350" t="n">
        <f aca="false">SUM(I4:I8)</f>
        <v>633333.333333333</v>
      </c>
      <c r="J9" s="350" t="n">
        <f aca="false">SUM(J4:J8)</f>
        <v>633333.333333333</v>
      </c>
      <c r="K9" s="350" t="n">
        <f aca="false">SUM(K4:K8)</f>
        <v>633333.333333333</v>
      </c>
      <c r="L9" s="350" t="n">
        <f aca="false">SUM(L4:L8)</f>
        <v>633333.333333333</v>
      </c>
      <c r="M9" s="350" t="n">
        <f aca="false">SUM(M4:M8)</f>
        <v>633333.333333333</v>
      </c>
      <c r="N9" s="389"/>
    </row>
    <row r="10" customFormat="false" ht="15" hidden="false" customHeight="true" outlineLevel="0" collapsed="false">
      <c r="A10" s="413" t="s">
        <v>411</v>
      </c>
      <c r="B10" s="414"/>
      <c r="C10" s="414"/>
      <c r="D10" s="414"/>
      <c r="E10" s="414"/>
      <c r="F10" s="414"/>
      <c r="G10" s="414"/>
      <c r="H10" s="414"/>
      <c r="I10" s="414"/>
      <c r="J10" s="414"/>
      <c r="K10" s="414"/>
      <c r="L10" s="414"/>
      <c r="M10" s="414"/>
      <c r="N10" s="389"/>
    </row>
    <row r="11" customFormat="false" ht="15" hidden="false" customHeight="true" outlineLevel="0" collapsed="false">
      <c r="A11" s="415" t="s">
        <v>412</v>
      </c>
      <c r="B11" s="416" t="n">
        <f aca="false">+'Compte d''exploitation'!B9/12</f>
        <v>50625</v>
      </c>
      <c r="C11" s="416" t="n">
        <f aca="false">B11</f>
        <v>50625</v>
      </c>
      <c r="D11" s="416" t="n">
        <f aca="false">C11</f>
        <v>50625</v>
      </c>
      <c r="E11" s="416" t="n">
        <f aca="false">D11</f>
        <v>50625</v>
      </c>
      <c r="F11" s="416" t="n">
        <f aca="false">E11</f>
        <v>50625</v>
      </c>
      <c r="G11" s="416" t="n">
        <f aca="false">F11</f>
        <v>50625</v>
      </c>
      <c r="H11" s="416" t="n">
        <f aca="false">G11</f>
        <v>50625</v>
      </c>
      <c r="I11" s="416" t="n">
        <f aca="false">H11</f>
        <v>50625</v>
      </c>
      <c r="J11" s="416" t="n">
        <f aca="false">I11</f>
        <v>50625</v>
      </c>
      <c r="K11" s="416" t="n">
        <f aca="false">J11</f>
        <v>50625</v>
      </c>
      <c r="L11" s="416" t="n">
        <f aca="false">K11</f>
        <v>50625</v>
      </c>
      <c r="M11" s="416" t="n">
        <f aca="false">L11</f>
        <v>50625</v>
      </c>
      <c r="N11" s="396" t="b">
        <f aca="false">+SUM(B11:M11)='Compte d''exploitation'!B9</f>
        <v>1</v>
      </c>
    </row>
    <row r="12" customFormat="false" ht="15" hidden="false" customHeight="true" outlineLevel="0" collapsed="false">
      <c r="A12" s="415" t="str">
        <f aca="false">+'Compte d''exploitation'!A10</f>
        <v>Charges de Personnel</v>
      </c>
      <c r="B12" s="416" t="n">
        <f aca="false">+'Compte d''exploitation'!B10/12</f>
        <v>68750</v>
      </c>
      <c r="C12" s="416" t="n">
        <f aca="false">B12</f>
        <v>68750</v>
      </c>
      <c r="D12" s="416" t="n">
        <f aca="false">C12</f>
        <v>68750</v>
      </c>
      <c r="E12" s="416" t="n">
        <f aca="false">D12</f>
        <v>68750</v>
      </c>
      <c r="F12" s="416" t="n">
        <f aca="false">E12</f>
        <v>68750</v>
      </c>
      <c r="G12" s="416" t="n">
        <f aca="false">F12</f>
        <v>68750</v>
      </c>
      <c r="H12" s="416" t="n">
        <f aca="false">G12</f>
        <v>68750</v>
      </c>
      <c r="I12" s="416" t="n">
        <f aca="false">H12</f>
        <v>68750</v>
      </c>
      <c r="J12" s="416" t="n">
        <f aca="false">I12</f>
        <v>68750</v>
      </c>
      <c r="K12" s="416" t="n">
        <f aca="false">J12</f>
        <v>68750</v>
      </c>
      <c r="L12" s="416" t="n">
        <f aca="false">K12</f>
        <v>68750</v>
      </c>
      <c r="M12" s="416" t="n">
        <f aca="false">L12</f>
        <v>68750</v>
      </c>
      <c r="N12" s="396" t="b">
        <f aca="false">+SUM(B12:M12)='Compte d''exploitation'!B10</f>
        <v>1</v>
      </c>
    </row>
    <row r="13" customFormat="false" ht="15" hidden="false" customHeight="true" outlineLevel="0" collapsed="false">
      <c r="A13" s="415" t="str">
        <f aca="false">+'Compte d''exploitation'!A19</f>
        <v>Impôts et taxes</v>
      </c>
      <c r="B13" s="416" t="n">
        <f aca="false">+'Compte d''exploitation'!B19/12</f>
        <v>6187.5</v>
      </c>
      <c r="C13" s="416" t="n">
        <f aca="false">B13</f>
        <v>6187.5</v>
      </c>
      <c r="D13" s="416" t="n">
        <f aca="false">C13</f>
        <v>6187.5</v>
      </c>
      <c r="E13" s="416" t="n">
        <f aca="false">D13</f>
        <v>6187.5</v>
      </c>
      <c r="F13" s="416" t="n">
        <f aca="false">E13</f>
        <v>6187.5</v>
      </c>
      <c r="G13" s="416" t="n">
        <f aca="false">F13</f>
        <v>6187.5</v>
      </c>
      <c r="H13" s="416" t="n">
        <f aca="false">G13</f>
        <v>6187.5</v>
      </c>
      <c r="I13" s="416" t="n">
        <f aca="false">H13</f>
        <v>6187.5</v>
      </c>
      <c r="J13" s="416" t="n">
        <f aca="false">I13</f>
        <v>6187.5</v>
      </c>
      <c r="K13" s="416" t="n">
        <f aca="false">J13</f>
        <v>6187.5</v>
      </c>
      <c r="L13" s="416" t="n">
        <f aca="false">K13</f>
        <v>6187.5</v>
      </c>
      <c r="M13" s="416" t="n">
        <f aca="false">L13</f>
        <v>6187.5</v>
      </c>
      <c r="N13" s="396" t="b">
        <f aca="false">+SUM(B13:M13)='Compte d''exploitation'!B19</f>
        <v>1</v>
      </c>
    </row>
    <row r="14" s="421" customFormat="true" ht="28.5" hidden="false" customHeight="true" outlineLevel="0" collapsed="false">
      <c r="A14" s="418" t="str">
        <f aca="false">+'Compte d''exploitation'!A11</f>
        <v>Travaux-Fournitures et Services Extérieurs (TFSE)</v>
      </c>
      <c r="B14" s="419" t="n">
        <f aca="false">+'Compte d''exploitation'!B11/12</f>
        <v>25000</v>
      </c>
      <c r="C14" s="419" t="n">
        <f aca="false">B14</f>
        <v>25000</v>
      </c>
      <c r="D14" s="419" t="n">
        <f aca="false">C14</f>
        <v>25000</v>
      </c>
      <c r="E14" s="419" t="n">
        <f aca="false">D14</f>
        <v>25000</v>
      </c>
      <c r="F14" s="419" t="n">
        <f aca="false">E14</f>
        <v>25000</v>
      </c>
      <c r="G14" s="419" t="n">
        <f aca="false">F14</f>
        <v>25000</v>
      </c>
      <c r="H14" s="419" t="n">
        <f aca="false">G14</f>
        <v>25000</v>
      </c>
      <c r="I14" s="419" t="n">
        <f aca="false">H14</f>
        <v>25000</v>
      </c>
      <c r="J14" s="419" t="n">
        <f aca="false">I14</f>
        <v>25000</v>
      </c>
      <c r="K14" s="419" t="n">
        <f aca="false">J14</f>
        <v>25000</v>
      </c>
      <c r="L14" s="419" t="n">
        <f aca="false">K14</f>
        <v>25000</v>
      </c>
      <c r="M14" s="419" t="n">
        <f aca="false">L14</f>
        <v>25000</v>
      </c>
      <c r="N14" s="420" t="b">
        <f aca="false">+SUM(B14:M14)='Compte d''exploitation'!B11</f>
        <v>1</v>
      </c>
    </row>
    <row r="15" customFormat="false" ht="15" hidden="false" customHeight="true" outlineLevel="0" collapsed="false">
      <c r="A15" s="415" t="str">
        <f aca="false">+'Compte d''exploitation'!A12</f>
        <v>Autres charges</v>
      </c>
      <c r="B15" s="416" t="n">
        <f aca="false">+'Compte d''exploitation'!B12/12</f>
        <v>0</v>
      </c>
      <c r="C15" s="416" t="n">
        <f aca="false">B15</f>
        <v>0</v>
      </c>
      <c r="D15" s="416" t="n">
        <f aca="false">C15</f>
        <v>0</v>
      </c>
      <c r="E15" s="416" t="n">
        <f aca="false">D15</f>
        <v>0</v>
      </c>
      <c r="F15" s="416" t="n">
        <f aca="false">E15</f>
        <v>0</v>
      </c>
      <c r="G15" s="416" t="n">
        <f aca="false">F15</f>
        <v>0</v>
      </c>
      <c r="H15" s="416" t="n">
        <f aca="false">G15</f>
        <v>0</v>
      </c>
      <c r="I15" s="416" t="n">
        <f aca="false">H15</f>
        <v>0</v>
      </c>
      <c r="J15" s="416" t="n">
        <f aca="false">I15</f>
        <v>0</v>
      </c>
      <c r="K15" s="416" t="n">
        <f aca="false">J15</f>
        <v>0</v>
      </c>
      <c r="L15" s="416" t="n">
        <f aca="false">K15</f>
        <v>0</v>
      </c>
      <c r="M15" s="416" t="n">
        <f aca="false">L15</f>
        <v>0</v>
      </c>
      <c r="N15" s="396" t="b">
        <f aca="false">+SUM(B15:M15)='Compte d''exploitation'!B12</f>
        <v>1</v>
      </c>
    </row>
    <row r="16" customFormat="false" ht="15" hidden="false" customHeight="true" outlineLevel="0" collapsed="false">
      <c r="A16" s="415" t="str">
        <f aca="false">+'Compte d''exploitation'!A13</f>
        <v>Frais financiers  et charges assimilées</v>
      </c>
      <c r="B16" s="416" t="n">
        <f aca="false">+'Compte d''exploitation'!B13/12</f>
        <v>20977.0925</v>
      </c>
      <c r="C16" s="416" t="n">
        <f aca="false">B16</f>
        <v>20977.0925</v>
      </c>
      <c r="D16" s="416" t="n">
        <f aca="false">C16</f>
        <v>20977.0925</v>
      </c>
      <c r="E16" s="416" t="n">
        <f aca="false">D16</f>
        <v>20977.0925</v>
      </c>
      <c r="F16" s="416" t="n">
        <f aca="false">E16</f>
        <v>20977.0925</v>
      </c>
      <c r="G16" s="416" t="n">
        <f aca="false">F16</f>
        <v>20977.0925</v>
      </c>
      <c r="H16" s="416" t="n">
        <f aca="false">G16</f>
        <v>20977.0925</v>
      </c>
      <c r="I16" s="416" t="n">
        <f aca="false">H16</f>
        <v>20977.0925</v>
      </c>
      <c r="J16" s="416" t="n">
        <f aca="false">I16</f>
        <v>20977.0925</v>
      </c>
      <c r="K16" s="416" t="n">
        <f aca="false">J16</f>
        <v>20977.0925</v>
      </c>
      <c r="L16" s="416" t="n">
        <f aca="false">K16</f>
        <v>20977.0925</v>
      </c>
      <c r="M16" s="416" t="n">
        <f aca="false">L16</f>
        <v>20977.0925</v>
      </c>
      <c r="N16" s="396" t="b">
        <f aca="false">+SUM(B16:M16)='Compte d''exploitation'!B13</f>
        <v>1</v>
      </c>
    </row>
    <row r="17" customFormat="false" ht="15" hidden="false" customHeight="true" outlineLevel="0" collapsed="false">
      <c r="A17" s="415" t="s">
        <v>413</v>
      </c>
      <c r="B17" s="416" t="n">
        <f aca="false">+'Compte d''exploitation'!B14/12</f>
        <v>80545.8333333333</v>
      </c>
      <c r="C17" s="416" t="n">
        <f aca="false">B17</f>
        <v>80545.8333333333</v>
      </c>
      <c r="D17" s="416" t="n">
        <f aca="false">C17</f>
        <v>80545.8333333333</v>
      </c>
      <c r="E17" s="416" t="n">
        <f aca="false">D17</f>
        <v>80545.8333333333</v>
      </c>
      <c r="F17" s="416" t="n">
        <f aca="false">E17</f>
        <v>80545.8333333333</v>
      </c>
      <c r="G17" s="416" t="n">
        <f aca="false">F17</f>
        <v>80545.8333333333</v>
      </c>
      <c r="H17" s="416" t="n">
        <f aca="false">G17</f>
        <v>80545.8333333333</v>
      </c>
      <c r="I17" s="416" t="n">
        <f aca="false">H17</f>
        <v>80545.8333333333</v>
      </c>
      <c r="J17" s="416" t="n">
        <f aca="false">I17</f>
        <v>80545.8333333333</v>
      </c>
      <c r="K17" s="416" t="n">
        <f aca="false">J17</f>
        <v>80545.8333333333</v>
      </c>
      <c r="L17" s="416" t="n">
        <f aca="false">K17</f>
        <v>80545.8333333333</v>
      </c>
      <c r="M17" s="416" t="n">
        <f aca="false">L17</f>
        <v>80545.8333333333</v>
      </c>
      <c r="N17" s="396" t="b">
        <f aca="false">+SUM(B17:M17)='Compte d''exploitation'!B14</f>
        <v>1</v>
      </c>
    </row>
    <row r="18" s="386" customFormat="true" ht="15" hidden="false" customHeight="true" outlineLevel="0" collapsed="false">
      <c r="A18" s="417" t="s">
        <v>414</v>
      </c>
      <c r="B18" s="350" t="n">
        <f aca="false">SUM(B11:B17)</f>
        <v>252085.425833333</v>
      </c>
      <c r="C18" s="350" t="n">
        <f aca="false">SUM(C11:C17)</f>
        <v>252085.425833333</v>
      </c>
      <c r="D18" s="350" t="n">
        <f aca="false">SUM(D11:D17)</f>
        <v>252085.425833333</v>
      </c>
      <c r="E18" s="350" t="n">
        <f aca="false">SUM(E11:E17)</f>
        <v>252085.425833333</v>
      </c>
      <c r="F18" s="350" t="n">
        <f aca="false">SUM(F11:F17)</f>
        <v>252085.425833333</v>
      </c>
      <c r="G18" s="350" t="n">
        <f aca="false">SUM(G11:G17)</f>
        <v>252085.425833333</v>
      </c>
      <c r="H18" s="350" t="n">
        <f aca="false">SUM(H11:H17)</f>
        <v>252085.425833333</v>
      </c>
      <c r="I18" s="350" t="n">
        <f aca="false">SUM(I11:I17)</f>
        <v>252085.425833333</v>
      </c>
      <c r="J18" s="350" t="n">
        <f aca="false">SUM(J11:J17)</f>
        <v>252085.425833333</v>
      </c>
      <c r="K18" s="350" t="n">
        <f aca="false">SUM(K11:K17)</f>
        <v>252085.425833333</v>
      </c>
      <c r="L18" s="350" t="n">
        <f aca="false">SUM(L11:L17)</f>
        <v>252085.425833333</v>
      </c>
      <c r="M18" s="350" t="n">
        <f aca="false">SUM(M11:M17)</f>
        <v>252085.425833333</v>
      </c>
      <c r="N18" s="389"/>
    </row>
    <row r="19" customFormat="false" ht="15" hidden="false" customHeight="true" outlineLevel="0" collapsed="false">
      <c r="A19" s="422"/>
      <c r="B19" s="422"/>
      <c r="C19" s="422"/>
      <c r="D19" s="422"/>
      <c r="E19" s="422"/>
      <c r="F19" s="422"/>
      <c r="G19" s="422"/>
      <c r="H19" s="422"/>
      <c r="I19" s="422"/>
      <c r="J19" s="422"/>
      <c r="K19" s="422"/>
      <c r="L19" s="422"/>
      <c r="M19" s="414"/>
      <c r="N19" s="389"/>
    </row>
    <row r="20" s="403" customFormat="true" ht="14.25" hidden="false" customHeight="true" outlineLevel="0" collapsed="false">
      <c r="A20" s="423" t="s">
        <v>415</v>
      </c>
      <c r="B20" s="424" t="n">
        <f aca="false">B9-B18</f>
        <v>381247.9075</v>
      </c>
      <c r="C20" s="424" t="n">
        <f aca="false">C9-C18</f>
        <v>381247.9075</v>
      </c>
      <c r="D20" s="424" t="n">
        <f aca="false">D9-D18</f>
        <v>381247.9075</v>
      </c>
      <c r="E20" s="424" t="n">
        <f aca="false">E9-E18</f>
        <v>381247.9075</v>
      </c>
      <c r="F20" s="424" t="n">
        <f aca="false">F9-F18</f>
        <v>381247.9075</v>
      </c>
      <c r="G20" s="424" t="n">
        <f aca="false">G9-G18</f>
        <v>381247.9075</v>
      </c>
      <c r="H20" s="424" t="n">
        <f aca="false">H9-H18</f>
        <v>381247.9075</v>
      </c>
      <c r="I20" s="424" t="n">
        <f aca="false">I9-I18</f>
        <v>381247.9075</v>
      </c>
      <c r="J20" s="424" t="n">
        <f aca="false">J9-J18</f>
        <v>381247.9075</v>
      </c>
      <c r="K20" s="424" t="n">
        <f aca="false">K9-K18</f>
        <v>381247.9075</v>
      </c>
      <c r="L20" s="424" t="n">
        <f aca="false">L9-L18</f>
        <v>381247.9075</v>
      </c>
      <c r="M20" s="424" t="n">
        <f aca="false">M9-M18</f>
        <v>381247.9075</v>
      </c>
      <c r="N20" s="389"/>
    </row>
    <row r="21" customFormat="false" ht="15" hidden="false" customHeight="true" outlineLevel="0" collapsed="false">
      <c r="A21" s="415" t="str">
        <f aca="false">+'Compte d''exploitation'!A18</f>
        <v>BIC </v>
      </c>
      <c r="B21" s="425" t="n">
        <f aca="false">+'Compte d''exploitation'!B18/12</f>
        <v>0</v>
      </c>
      <c r="C21" s="416" t="n">
        <f aca="false">B21</f>
        <v>0</v>
      </c>
      <c r="D21" s="416" t="n">
        <f aca="false">C21</f>
        <v>0</v>
      </c>
      <c r="E21" s="416" t="n">
        <f aca="false">D21</f>
        <v>0</v>
      </c>
      <c r="F21" s="416" t="n">
        <f aca="false">E21</f>
        <v>0</v>
      </c>
      <c r="G21" s="416" t="n">
        <f aca="false">F21</f>
        <v>0</v>
      </c>
      <c r="H21" s="416" t="n">
        <f aca="false">G21</f>
        <v>0</v>
      </c>
      <c r="I21" s="416" t="n">
        <f aca="false">H21</f>
        <v>0</v>
      </c>
      <c r="J21" s="416" t="n">
        <f aca="false">I21</f>
        <v>0</v>
      </c>
      <c r="K21" s="416" t="n">
        <f aca="false">J21</f>
        <v>0</v>
      </c>
      <c r="L21" s="416" t="n">
        <f aca="false">K21</f>
        <v>0</v>
      </c>
      <c r="M21" s="416" t="n">
        <f aca="false">L21</f>
        <v>0</v>
      </c>
      <c r="N21" s="389"/>
    </row>
    <row r="22" customFormat="false" ht="15" hidden="false" customHeight="true" outlineLevel="0" collapsed="false">
      <c r="A22" s="422"/>
      <c r="B22" s="422"/>
      <c r="C22" s="422"/>
      <c r="D22" s="422"/>
      <c r="E22" s="422"/>
      <c r="F22" s="422"/>
      <c r="G22" s="422"/>
      <c r="H22" s="422"/>
      <c r="I22" s="422"/>
      <c r="J22" s="422"/>
      <c r="K22" s="422"/>
      <c r="L22" s="422"/>
      <c r="M22" s="414"/>
      <c r="N22" s="389"/>
    </row>
    <row r="23" customFormat="false" ht="15" hidden="false" customHeight="true" outlineLevel="0" collapsed="false">
      <c r="A23" s="423" t="s">
        <v>416</v>
      </c>
      <c r="B23" s="424" t="n">
        <f aca="false">B20-B21</f>
        <v>381247.9075</v>
      </c>
      <c r="C23" s="424" t="n">
        <f aca="false">C20-C21</f>
        <v>381247.9075</v>
      </c>
      <c r="D23" s="424" t="n">
        <f aca="false">D20-D21</f>
        <v>381247.9075</v>
      </c>
      <c r="E23" s="424" t="n">
        <f aca="false">E20-E21</f>
        <v>381247.9075</v>
      </c>
      <c r="F23" s="424" t="n">
        <f aca="false">F20-F21</f>
        <v>381247.9075</v>
      </c>
      <c r="G23" s="424" t="n">
        <f aca="false">G20-G21</f>
        <v>381247.9075</v>
      </c>
      <c r="H23" s="424" t="n">
        <f aca="false">H20-H21</f>
        <v>381247.9075</v>
      </c>
      <c r="I23" s="424" t="n">
        <f aca="false">I20-I21</f>
        <v>381247.9075</v>
      </c>
      <c r="J23" s="424" t="n">
        <f aca="false">J20-J21</f>
        <v>381247.9075</v>
      </c>
      <c r="K23" s="424" t="n">
        <f aca="false">K20-K21</f>
        <v>381247.9075</v>
      </c>
      <c r="L23" s="424" t="n">
        <f aca="false">L20-L21</f>
        <v>381247.9075</v>
      </c>
      <c r="M23" s="424" t="n">
        <f aca="false">M20-M21</f>
        <v>381247.9075</v>
      </c>
      <c r="N23" s="389"/>
    </row>
    <row r="24" customFormat="false" ht="15" hidden="false" customHeight="true" outlineLevel="0" collapsed="false">
      <c r="A24" s="426"/>
      <c r="B24" s="426"/>
      <c r="C24" s="426"/>
      <c r="D24" s="426"/>
      <c r="E24" s="426"/>
      <c r="F24" s="426"/>
      <c r="G24" s="426"/>
      <c r="H24" s="426"/>
      <c r="I24" s="426"/>
      <c r="J24" s="426"/>
      <c r="K24" s="426"/>
      <c r="L24" s="426"/>
      <c r="M24" s="426"/>
      <c r="N24" s="389"/>
    </row>
  </sheetData>
  <mergeCells count="4">
    <mergeCell ref="B3:M3"/>
    <mergeCell ref="B10:M10"/>
    <mergeCell ref="A19:L19"/>
    <mergeCell ref="A22:L2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1.453125" defaultRowHeight="14.25" zeroHeight="false" outlineLevelRow="0" outlineLevelCol="0"/>
  <cols>
    <col collapsed="false" customWidth="true" hidden="false" outlineLevel="0" max="1" min="1" style="65" width="57.82"/>
    <col collapsed="false" customWidth="true" hidden="false" outlineLevel="0" max="2" min="2" style="65" width="26.82"/>
    <col collapsed="false" customWidth="true" hidden="false" outlineLevel="0" max="3" min="3" style="427" width="15.09"/>
    <col collapsed="false" customWidth="true" hidden="false" outlineLevel="0" max="4" min="4" style="427" width="10.54"/>
    <col collapsed="false" customWidth="true" hidden="false" outlineLevel="0" max="5" min="5" style="65" width="2.54"/>
    <col collapsed="false" customWidth="false" hidden="false" outlineLevel="0" max="16384" min="6" style="65" width="11.45"/>
  </cols>
  <sheetData>
    <row r="1" customFormat="false" ht="20.25" hidden="false" customHeight="true" outlineLevel="0" collapsed="false">
      <c r="A1" s="428" t="s">
        <v>417</v>
      </c>
      <c r="B1" s="428"/>
      <c r="C1" s="428"/>
      <c r="D1" s="428"/>
      <c r="E1" s="272"/>
    </row>
    <row r="2" customFormat="false" ht="15.75" hidden="false" customHeight="true" outlineLevel="0" collapsed="false">
      <c r="A2" s="272"/>
      <c r="B2" s="272"/>
      <c r="C2" s="272"/>
      <c r="D2" s="272"/>
      <c r="E2" s="272"/>
    </row>
    <row r="3" customFormat="false" ht="15" hidden="false" customHeight="true" outlineLevel="0" collapsed="false">
      <c r="A3" s="429" t="s">
        <v>418</v>
      </c>
      <c r="B3" s="430"/>
      <c r="C3" s="430"/>
      <c r="D3" s="431"/>
      <c r="E3" s="272"/>
    </row>
    <row r="4" customFormat="false" ht="15" hidden="false" customHeight="true" outlineLevel="0" collapsed="false">
      <c r="A4" s="432" t="s">
        <v>419</v>
      </c>
      <c r="B4" s="433"/>
      <c r="C4" s="434" t="n">
        <f aca="false">+D4/D4</f>
        <v>1</v>
      </c>
      <c r="D4" s="435" t="n">
        <f aca="false">+'Coût du projet'!C46</f>
        <v>3059000</v>
      </c>
      <c r="E4" s="272"/>
    </row>
    <row r="5" customFormat="false" ht="15" hidden="false" customHeight="true" outlineLevel="0" collapsed="false">
      <c r="A5" s="436" t="s">
        <v>420</v>
      </c>
      <c r="B5" s="437"/>
      <c r="C5" s="438" t="n">
        <f aca="false">+D5/D4</f>
        <v>0.1</v>
      </c>
      <c r="D5" s="435" t="n">
        <f aca="false">+'Plan Financement'!C7</f>
        <v>305900</v>
      </c>
      <c r="E5" s="272"/>
    </row>
    <row r="6" customFormat="false" ht="15" hidden="false" customHeight="true" outlineLevel="0" collapsed="false">
      <c r="A6" s="436" t="s">
        <v>421</v>
      </c>
      <c r="B6" s="433" t="s">
        <v>422</v>
      </c>
      <c r="C6" s="438" t="n">
        <f aca="false">+'Plan Financement'!B11</f>
        <v>0</v>
      </c>
      <c r="D6" s="435" t="n">
        <f aca="false">+'Plan Financement'!C11</f>
        <v>0</v>
      </c>
      <c r="E6" s="272"/>
    </row>
    <row r="7" customFormat="false" ht="15" hidden="false" customHeight="true" outlineLevel="0" collapsed="false">
      <c r="A7" s="436"/>
      <c r="B7" s="433" t="s">
        <v>423</v>
      </c>
      <c r="C7" s="438" t="n">
        <f aca="false">+'Plan Financement'!B12</f>
        <v>0</v>
      </c>
      <c r="D7" s="435" t="n">
        <f aca="false">+'Plan Financement'!C12</f>
        <v>0</v>
      </c>
      <c r="E7" s="272"/>
    </row>
    <row r="8" customFormat="false" ht="15" hidden="false" customHeight="true" outlineLevel="0" collapsed="false">
      <c r="A8" s="436"/>
      <c r="B8" s="433" t="s">
        <v>424</v>
      </c>
      <c r="C8" s="438" t="n">
        <f aca="false">+'Plan Financement'!B17</f>
        <v>0</v>
      </c>
      <c r="D8" s="435" t="n">
        <f aca="false">+'Plan Financement'!C17</f>
        <v>0</v>
      </c>
      <c r="E8" s="272"/>
    </row>
    <row r="9" customFormat="false" ht="15" hidden="false" customHeight="true" outlineLevel="0" collapsed="false">
      <c r="A9" s="436" t="s">
        <v>425</v>
      </c>
      <c r="B9" s="433" t="s">
        <v>426</v>
      </c>
      <c r="C9" s="438" t="n">
        <f aca="false">+'Plan Financement'!B13</f>
        <v>0</v>
      </c>
      <c r="D9" s="435" t="n">
        <f aca="false">+'Plan Financement'!C13</f>
        <v>0</v>
      </c>
      <c r="E9" s="272"/>
    </row>
    <row r="10" customFormat="false" ht="15" hidden="false" customHeight="true" outlineLevel="0" collapsed="false">
      <c r="A10" s="436" t="s">
        <v>427</v>
      </c>
      <c r="B10" s="433" t="s">
        <v>428</v>
      </c>
      <c r="C10" s="438" t="n">
        <f aca="false">+D10/D4</f>
        <v>0.9</v>
      </c>
      <c r="D10" s="435" t="n">
        <f aca="false">+IF('Plan Financement'!B19&lt;36,0,'Plan Financement'!C15)</f>
        <v>2753100</v>
      </c>
      <c r="E10" s="272"/>
    </row>
    <row r="11" customFormat="false" ht="15" hidden="false" customHeight="true" outlineLevel="0" collapsed="false">
      <c r="A11" s="436"/>
      <c r="B11" s="433" t="s">
        <v>429</v>
      </c>
      <c r="C11" s="438" t="n">
        <f aca="false">+D11/D4</f>
        <v>0</v>
      </c>
      <c r="D11" s="435" t="n">
        <f aca="false">+IF('Plan Financement'!B19&lt;36,'Plan Financement'!C15,0)</f>
        <v>0</v>
      </c>
      <c r="E11" s="272"/>
    </row>
    <row r="12" customFormat="false" ht="15" hidden="false" customHeight="true" outlineLevel="0" collapsed="false">
      <c r="A12" s="439" t="s">
        <v>430</v>
      </c>
      <c r="B12" s="440"/>
      <c r="C12" s="441"/>
      <c r="D12" s="442"/>
      <c r="E12" s="272"/>
    </row>
    <row r="13" customFormat="false" ht="15" hidden="false" customHeight="true" outlineLevel="0" collapsed="false">
      <c r="A13" s="432" t="s">
        <v>431</v>
      </c>
      <c r="B13" s="443" t="s">
        <v>432</v>
      </c>
      <c r="C13" s="444"/>
      <c r="D13" s="444"/>
      <c r="E13" s="272"/>
    </row>
    <row r="14" customFormat="false" ht="15" hidden="false" customHeight="true" outlineLevel="0" collapsed="false">
      <c r="A14" s="432" t="s">
        <v>433</v>
      </c>
      <c r="B14" s="445"/>
      <c r="C14" s="445"/>
      <c r="D14" s="445"/>
      <c r="E14" s="272"/>
    </row>
    <row r="15" customFormat="false" ht="15" hidden="false" customHeight="true" outlineLevel="0" collapsed="false">
      <c r="A15" s="436" t="s">
        <v>434</v>
      </c>
      <c r="B15" s="433" t="s">
        <v>435</v>
      </c>
      <c r="C15" s="444" t="n">
        <f aca="false">+'Plan Financement'!B19</f>
        <v>60</v>
      </c>
      <c r="D15" s="444"/>
      <c r="E15" s="272"/>
    </row>
    <row r="16" customFormat="false" ht="15" hidden="false" customHeight="true" outlineLevel="0" collapsed="false">
      <c r="A16" s="436" t="s">
        <v>436</v>
      </c>
      <c r="B16" s="433" t="s">
        <v>437</v>
      </c>
      <c r="C16" s="446" t="n">
        <f aca="false">+'Plan Financement'!B20</f>
        <v>0.08</v>
      </c>
      <c r="D16" s="446"/>
      <c r="E16" s="272"/>
    </row>
    <row r="17" customFormat="false" ht="15" hidden="false" customHeight="true" outlineLevel="0" collapsed="false">
      <c r="A17" s="436"/>
      <c r="B17" s="433" t="s">
        <v>438</v>
      </c>
      <c r="C17" s="444"/>
      <c r="D17" s="444"/>
      <c r="E17" s="272"/>
    </row>
    <row r="18" customFormat="false" ht="15" hidden="false" customHeight="true" outlineLevel="0" collapsed="false">
      <c r="A18" s="439" t="s">
        <v>439</v>
      </c>
      <c r="B18" s="440"/>
      <c r="C18" s="441"/>
      <c r="D18" s="442"/>
      <c r="E18" s="272"/>
    </row>
    <row r="19" customFormat="false" ht="15" hidden="false" customHeight="true" outlineLevel="0" collapsed="false">
      <c r="A19" s="447" t="s">
        <v>440</v>
      </c>
      <c r="B19" s="448" t="s">
        <v>441</v>
      </c>
      <c r="C19" s="449"/>
      <c r="D19" s="450" t="s">
        <v>385</v>
      </c>
      <c r="E19" s="272"/>
    </row>
    <row r="20" customFormat="false" ht="16.5" hidden="false" customHeight="true" outlineLevel="0" collapsed="false">
      <c r="A20" s="451" t="s">
        <v>442</v>
      </c>
      <c r="B20" s="433" t="s">
        <v>443</v>
      </c>
      <c r="C20" s="452" t="n">
        <f aca="false">+'Eléments du compte d''exploitati'!B12</f>
        <v>7600000</v>
      </c>
      <c r="D20" s="450" t="s">
        <v>385</v>
      </c>
      <c r="E20" s="272"/>
    </row>
    <row r="21" customFormat="false" ht="16.5" hidden="false" customHeight="true" outlineLevel="0" collapsed="false">
      <c r="A21" s="451"/>
      <c r="B21" s="433" t="s">
        <v>444</v>
      </c>
      <c r="C21" s="452" t="n">
        <f aca="false">+'Eléments du compte d''exploitati'!C12</f>
        <v>7752000</v>
      </c>
      <c r="D21" s="450" t="s">
        <v>385</v>
      </c>
      <c r="E21" s="272"/>
    </row>
    <row r="22" customFormat="false" ht="16.5" hidden="false" customHeight="true" outlineLevel="0" collapsed="false">
      <c r="A22" s="451"/>
      <c r="B22" s="433" t="s">
        <v>445</v>
      </c>
      <c r="C22" s="452" t="n">
        <f aca="false">+'Eléments du compte d''exploitati'!D12</f>
        <v>7907040</v>
      </c>
      <c r="D22" s="450" t="s">
        <v>385</v>
      </c>
      <c r="E22" s="272"/>
    </row>
    <row r="23" customFormat="false" ht="16.5" hidden="false" customHeight="true" outlineLevel="0" collapsed="false">
      <c r="A23" s="451" t="s">
        <v>446</v>
      </c>
      <c r="B23" s="433" t="s">
        <v>443</v>
      </c>
      <c r="C23" s="452" t="n">
        <f aca="false">+'Compte d''exploitation'!B20</f>
        <v>4574974.89</v>
      </c>
      <c r="D23" s="450" t="s">
        <v>385</v>
      </c>
      <c r="E23" s="272"/>
    </row>
    <row r="24" customFormat="false" ht="16.5" hidden="false" customHeight="true" outlineLevel="0" collapsed="false">
      <c r="A24" s="451"/>
      <c r="B24" s="433" t="s">
        <v>444</v>
      </c>
      <c r="C24" s="452" t="n">
        <f aca="false">+'Compte d''exploitation'!C20</f>
        <v>5229475.8</v>
      </c>
      <c r="D24" s="450" t="s">
        <v>385</v>
      </c>
      <c r="E24" s="272"/>
    </row>
    <row r="25" customFormat="false" ht="16.5" hidden="false" customHeight="true" outlineLevel="0" collapsed="false">
      <c r="A25" s="451"/>
      <c r="B25" s="433" t="s">
        <v>445</v>
      </c>
      <c r="C25" s="452" t="n">
        <f aca="false">+'Compte d''exploitation'!D20</f>
        <v>5390264.28</v>
      </c>
      <c r="D25" s="450" t="s">
        <v>385</v>
      </c>
      <c r="E25" s="272"/>
    </row>
    <row r="26" customFormat="false" ht="16.5" hidden="false" customHeight="true" outlineLevel="0" collapsed="false">
      <c r="A26" s="451" t="s">
        <v>447</v>
      </c>
      <c r="B26" s="433" t="s">
        <v>443</v>
      </c>
      <c r="C26" s="452" t="n">
        <f aca="false">+'Compte d''exploitation'!B22</f>
        <v>5541524.89</v>
      </c>
      <c r="D26" s="450" t="s">
        <v>385</v>
      </c>
      <c r="E26" s="272"/>
    </row>
    <row r="27" customFormat="false" ht="16.5" hidden="false" customHeight="true" outlineLevel="0" collapsed="false">
      <c r="A27" s="451"/>
      <c r="B27" s="433" t="s">
        <v>444</v>
      </c>
      <c r="C27" s="452" t="n">
        <f aca="false">+'Compte d''exploitation'!C22</f>
        <v>5646025.8</v>
      </c>
      <c r="D27" s="450" t="s">
        <v>385</v>
      </c>
      <c r="E27" s="272"/>
    </row>
    <row r="28" customFormat="false" ht="16.5" hidden="false" customHeight="true" outlineLevel="0" collapsed="false">
      <c r="A28" s="451"/>
      <c r="B28" s="433" t="s">
        <v>445</v>
      </c>
      <c r="C28" s="452" t="n">
        <f aca="false">+'Compte d''exploitation'!D22</f>
        <v>5806814.28</v>
      </c>
      <c r="D28" s="450" t="s">
        <v>385</v>
      </c>
      <c r="E28" s="272"/>
    </row>
    <row r="29" customFormat="false" ht="15" hidden="false" customHeight="true" outlineLevel="0" collapsed="false">
      <c r="A29" s="439" t="s">
        <v>448</v>
      </c>
      <c r="B29" s="440"/>
      <c r="C29" s="441"/>
      <c r="D29" s="442"/>
      <c r="E29" s="272"/>
    </row>
    <row r="30" customFormat="false" ht="15" hidden="false" customHeight="true" outlineLevel="0" collapsed="false">
      <c r="A30" s="436" t="s">
        <v>449</v>
      </c>
      <c r="B30" s="433"/>
      <c r="C30" s="453" t="n">
        <f aca="false">+'Ratios d''analyse'!B29*100</f>
        <v>15.8014649012684</v>
      </c>
      <c r="D30" s="450" t="s">
        <v>144</v>
      </c>
      <c r="E30" s="272"/>
    </row>
    <row r="31" customFormat="false" ht="15" hidden="false" customHeight="true" outlineLevel="0" collapsed="false">
      <c r="A31" s="436" t="s">
        <v>450</v>
      </c>
      <c r="B31" s="433"/>
      <c r="C31" s="453" t="n">
        <f aca="false">+'Ratios d''analyse'!C17*100</f>
        <v>88.6260680355734</v>
      </c>
      <c r="D31" s="450" t="s">
        <v>144</v>
      </c>
      <c r="E31" s="272"/>
    </row>
    <row r="32" customFormat="false" ht="15" hidden="false" customHeight="true" outlineLevel="0" collapsed="false">
      <c r="A32" s="436" t="s">
        <v>50</v>
      </c>
      <c r="B32" s="433"/>
      <c r="C32" s="453" t="n">
        <f aca="false">+'Ratios d''analyse'!B31*100</f>
        <v>182.220822889539</v>
      </c>
      <c r="D32" s="450" t="s">
        <v>144</v>
      </c>
      <c r="E32" s="272"/>
    </row>
    <row r="33" customFormat="false" ht="15" hidden="false" customHeight="true" outlineLevel="0" collapsed="false">
      <c r="A33" s="436" t="s">
        <v>451</v>
      </c>
      <c r="B33" s="433" t="s">
        <v>452</v>
      </c>
      <c r="C33" s="435" t="str">
        <f aca="false">+'Ratios d''analyse'!C36</f>
        <v>0 an(s) et 7 mois</v>
      </c>
      <c r="D33" s="435"/>
      <c r="E33" s="272"/>
    </row>
    <row r="34" customFormat="false" ht="15" hidden="false" customHeight="true" outlineLevel="0" collapsed="false">
      <c r="A34" s="436"/>
      <c r="B34" s="433" t="s">
        <v>453</v>
      </c>
      <c r="C34" s="435" t="str">
        <f aca="false">+'Ratios d''analyse'!C37</f>
        <v>0 an(s) et 7 mois</v>
      </c>
      <c r="D34" s="435"/>
      <c r="E34" s="272"/>
    </row>
    <row r="35" customFormat="false" ht="15" hidden="false" customHeight="true" outlineLevel="0" collapsed="false">
      <c r="A35" s="439" t="s">
        <v>454</v>
      </c>
      <c r="B35" s="440"/>
      <c r="C35" s="441"/>
      <c r="D35" s="442"/>
      <c r="E35" s="272"/>
    </row>
    <row r="36" customFormat="false" ht="15" hidden="false" customHeight="true" outlineLevel="0" collapsed="false">
      <c r="A36" s="439" t="s">
        <v>455</v>
      </c>
      <c r="B36" s="440"/>
      <c r="C36" s="441"/>
      <c r="D36" s="442"/>
      <c r="E36" s="272"/>
    </row>
    <row r="37" customFormat="false" ht="15" hidden="false" customHeight="true" outlineLevel="0" collapsed="false">
      <c r="A37" s="436" t="s">
        <v>456</v>
      </c>
      <c r="B37" s="433" t="s">
        <v>457</v>
      </c>
      <c r="C37" s="454" t="s">
        <v>458</v>
      </c>
      <c r="D37" s="450" t="s">
        <v>459</v>
      </c>
      <c r="E37" s="272"/>
    </row>
    <row r="38" customFormat="false" ht="15" hidden="false" customHeight="true" outlineLevel="0" collapsed="false">
      <c r="A38" s="436"/>
      <c r="B38" s="433" t="s">
        <v>98</v>
      </c>
      <c r="C38" s="453" t="n">
        <f aca="false">+'Hypothèse de base'!B38</f>
        <v>2</v>
      </c>
      <c r="D38" s="435" t="n">
        <f aca="false">+'Hypothèse de base'!C38</f>
        <v>0</v>
      </c>
      <c r="E38" s="272"/>
    </row>
    <row r="39" customFormat="false" ht="15.75" hidden="false" customHeight="true" outlineLevel="0" collapsed="false">
      <c r="A39" s="436"/>
      <c r="B39" s="455" t="s">
        <v>99</v>
      </c>
      <c r="C39" s="456" t="n">
        <f aca="false">+'Hypothèse de base'!D38</f>
        <v>3</v>
      </c>
      <c r="D39" s="457" t="n">
        <f aca="false">+'Hypothèse de base'!E38</f>
        <v>0</v>
      </c>
      <c r="E39" s="272"/>
    </row>
    <row r="40" customFormat="false" ht="15" hidden="false" customHeight="true" outlineLevel="0" collapsed="false">
      <c r="A40" s="272"/>
      <c r="B40" s="272"/>
      <c r="C40" s="274"/>
      <c r="D40" s="274"/>
      <c r="E40" s="272"/>
    </row>
  </sheetData>
  <mergeCells count="17">
    <mergeCell ref="A1:D1"/>
    <mergeCell ref="B3:C3"/>
    <mergeCell ref="A6:A8"/>
    <mergeCell ref="A10:A11"/>
    <mergeCell ref="C13:D13"/>
    <mergeCell ref="B14:D14"/>
    <mergeCell ref="C15:D15"/>
    <mergeCell ref="A16:A17"/>
    <mergeCell ref="C16:D16"/>
    <mergeCell ref="C17:D17"/>
    <mergeCell ref="A20:A22"/>
    <mergeCell ref="A23:A25"/>
    <mergeCell ref="A26:A28"/>
    <mergeCell ref="A33:A34"/>
    <mergeCell ref="C33:D33"/>
    <mergeCell ref="C34:D34"/>
    <mergeCell ref="A37:A3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4" activeCellId="0" sqref="D4"/>
    </sheetView>
  </sheetViews>
  <sheetFormatPr defaultColWidth="11.453125" defaultRowHeight="14.25" zeroHeight="false" outlineLevelRow="0" outlineLevelCol="0"/>
  <cols>
    <col collapsed="false" customWidth="true" hidden="false" outlineLevel="0" max="1" min="1" style="0" width="34.54"/>
    <col collapsed="false" customWidth="true" hidden="false" outlineLevel="0" max="2" min="2" style="0" width="19"/>
    <col collapsed="false" customWidth="true" hidden="false" outlineLevel="0" max="3" min="3" style="0" width="20.09"/>
    <col collapsed="false" customWidth="true" hidden="false" outlineLevel="0" max="4" min="4" style="0" width="6.45"/>
    <col collapsed="false" customWidth="true" hidden="false" outlineLevel="0" max="5" min="5" style="0" width="26.45"/>
    <col collapsed="false" customWidth="true" hidden="false" outlineLevel="0" max="6" min="6" style="0" width="6.09"/>
  </cols>
  <sheetData>
    <row r="1" customFormat="false" ht="15.75" hidden="false" customHeight="true" outlineLevel="0" collapsed="false"/>
    <row r="2" customFormat="false" ht="15.75" hidden="false" customHeight="true" outlineLevel="0" collapsed="false">
      <c r="A2" s="458" t="s">
        <v>460</v>
      </c>
      <c r="B2" s="458"/>
      <c r="C2" s="458" t="s">
        <v>461</v>
      </c>
      <c r="D2" s="458"/>
      <c r="E2" s="458"/>
      <c r="F2" s="458"/>
    </row>
    <row r="3" customFormat="false" ht="32.25" hidden="false" customHeight="true" outlineLevel="0" collapsed="false">
      <c r="A3" s="459" t="s">
        <v>462</v>
      </c>
      <c r="B3" s="460" t="s">
        <v>463</v>
      </c>
      <c r="C3" s="461" t="s">
        <v>271</v>
      </c>
      <c r="D3" s="460" t="s">
        <v>144</v>
      </c>
      <c r="E3" s="461" t="s">
        <v>464</v>
      </c>
      <c r="F3" s="462" t="s">
        <v>144</v>
      </c>
    </row>
    <row r="4" customFormat="false" ht="18.75" hidden="false" customHeight="true" outlineLevel="0" collapsed="false">
      <c r="A4" s="463" t="s">
        <v>145</v>
      </c>
      <c r="B4" s="464" t="n">
        <f aca="false">+SUM(B5:B10)</f>
        <v>900000</v>
      </c>
      <c r="C4" s="465" t="n">
        <f aca="false">+B4</f>
        <v>900000</v>
      </c>
      <c r="D4" s="466" t="n">
        <f aca="false">+C4/$B$25</f>
        <v>0.0638297872340426</v>
      </c>
      <c r="E4" s="467"/>
      <c r="F4" s="468"/>
    </row>
    <row r="5" customFormat="false" ht="15.75" hidden="false" customHeight="true" outlineLevel="0" collapsed="false">
      <c r="A5" s="469" t="s">
        <v>465</v>
      </c>
      <c r="B5" s="470" t="n">
        <v>150000</v>
      </c>
      <c r="C5" s="471"/>
      <c r="D5" s="471"/>
      <c r="E5" s="471"/>
      <c r="F5" s="472"/>
    </row>
    <row r="6" customFormat="false" ht="15.75" hidden="false" customHeight="true" outlineLevel="0" collapsed="false">
      <c r="A6" s="469" t="s">
        <v>466</v>
      </c>
      <c r="B6" s="470" t="n">
        <v>150000</v>
      </c>
      <c r="C6" s="471"/>
      <c r="D6" s="471"/>
      <c r="E6" s="471"/>
      <c r="F6" s="472"/>
    </row>
    <row r="7" customFormat="false" ht="15.75" hidden="false" customHeight="true" outlineLevel="0" collapsed="false">
      <c r="A7" s="469" t="s">
        <v>467</v>
      </c>
      <c r="B7" s="470" t="n">
        <v>150000</v>
      </c>
      <c r="C7" s="471"/>
      <c r="D7" s="471"/>
      <c r="E7" s="471"/>
      <c r="F7" s="472"/>
    </row>
    <row r="8" customFormat="false" ht="15.75" hidden="false" customHeight="true" outlineLevel="0" collapsed="false">
      <c r="A8" s="469" t="s">
        <v>149</v>
      </c>
      <c r="B8" s="470" t="n">
        <v>150000</v>
      </c>
      <c r="C8" s="471"/>
      <c r="D8" s="471"/>
      <c r="E8" s="471"/>
      <c r="F8" s="472"/>
    </row>
    <row r="9" customFormat="false" ht="15.75" hidden="false" customHeight="true" outlineLevel="0" collapsed="false">
      <c r="A9" s="469" t="s">
        <v>150</v>
      </c>
      <c r="B9" s="470" t="n">
        <v>150000</v>
      </c>
      <c r="C9" s="471"/>
      <c r="D9" s="471"/>
      <c r="E9" s="471"/>
      <c r="F9" s="472"/>
    </row>
    <row r="10" customFormat="false" ht="16.5" hidden="false" customHeight="true" outlineLevel="0" collapsed="false">
      <c r="A10" s="473" t="s">
        <v>468</v>
      </c>
      <c r="B10" s="470" t="n">
        <v>150000</v>
      </c>
      <c r="C10" s="471"/>
      <c r="D10" s="471"/>
      <c r="E10" s="471"/>
      <c r="F10" s="472"/>
    </row>
    <row r="11" customFormat="false" ht="18.75" hidden="false" customHeight="true" outlineLevel="0" collapsed="false">
      <c r="A11" s="474" t="s">
        <v>152</v>
      </c>
      <c r="B11" s="475" t="n">
        <f aca="false">+SUM(B12:B17)</f>
        <v>12000000</v>
      </c>
      <c r="C11" s="476"/>
      <c r="D11" s="476"/>
      <c r="E11" s="477" t="n">
        <f aca="false">+B11</f>
        <v>12000000</v>
      </c>
      <c r="F11" s="478" t="n">
        <f aca="false">+E11/$B$25</f>
        <v>0.851063829787234</v>
      </c>
    </row>
    <row r="12" customFormat="false" ht="15.75" hidden="false" customHeight="true" outlineLevel="0" collapsed="false">
      <c r="A12" s="469" t="s">
        <v>469</v>
      </c>
      <c r="B12" s="470" t="n">
        <v>5000000</v>
      </c>
      <c r="C12" s="471"/>
      <c r="D12" s="471"/>
      <c r="E12" s="471"/>
      <c r="F12" s="472"/>
    </row>
    <row r="13" customFormat="false" ht="15.75" hidden="false" customHeight="true" outlineLevel="0" collapsed="false">
      <c r="A13" s="469" t="s">
        <v>470</v>
      </c>
      <c r="B13" s="470" t="n">
        <v>5000000</v>
      </c>
      <c r="C13" s="471"/>
      <c r="D13" s="471"/>
      <c r="E13" s="471"/>
      <c r="F13" s="472"/>
    </row>
    <row r="14" customFormat="false" ht="15.75" hidden="false" customHeight="true" outlineLevel="0" collapsed="false">
      <c r="A14" s="469" t="s">
        <v>471</v>
      </c>
      <c r="B14" s="470" t="n">
        <v>500000</v>
      </c>
      <c r="C14" s="471"/>
      <c r="D14" s="471"/>
      <c r="E14" s="471"/>
      <c r="F14" s="472"/>
    </row>
    <row r="15" customFormat="false" ht="15.75" hidden="false" customHeight="true" outlineLevel="0" collapsed="false">
      <c r="A15" s="469" t="s">
        <v>472</v>
      </c>
      <c r="B15" s="470" t="n">
        <v>500000</v>
      </c>
      <c r="C15" s="471"/>
      <c r="D15" s="471"/>
      <c r="E15" s="471"/>
      <c r="F15" s="472"/>
    </row>
    <row r="16" customFormat="false" ht="15.75" hidden="false" customHeight="true" outlineLevel="0" collapsed="false">
      <c r="A16" s="469" t="s">
        <v>473</v>
      </c>
      <c r="B16" s="470" t="n">
        <v>500000</v>
      </c>
      <c r="C16" s="471"/>
      <c r="D16" s="471"/>
      <c r="E16" s="471"/>
      <c r="F16" s="472"/>
    </row>
    <row r="17" customFormat="false" ht="15.75" hidden="false" customHeight="true" outlineLevel="0" collapsed="false">
      <c r="A17" s="469" t="s">
        <v>474</v>
      </c>
      <c r="B17" s="470" t="n">
        <v>500000</v>
      </c>
      <c r="C17" s="471"/>
      <c r="D17" s="471"/>
      <c r="E17" s="471"/>
      <c r="F17" s="472"/>
    </row>
    <row r="18" customFormat="false" ht="16.5" hidden="false" customHeight="true" outlineLevel="0" collapsed="false">
      <c r="A18" s="473" t="s">
        <v>468</v>
      </c>
      <c r="B18" s="470" t="n">
        <v>500000</v>
      </c>
      <c r="C18" s="471"/>
      <c r="D18" s="471"/>
      <c r="E18" s="471"/>
      <c r="F18" s="472"/>
    </row>
    <row r="19" customFormat="false" ht="18.75" hidden="false" customHeight="true" outlineLevel="0" collapsed="false">
      <c r="A19" s="474" t="s">
        <v>156</v>
      </c>
      <c r="B19" s="475" t="n">
        <f aca="false">+SUM(B20:B24)</f>
        <v>1200000</v>
      </c>
      <c r="C19" s="477" t="n">
        <f aca="false">+B19</f>
        <v>1200000</v>
      </c>
      <c r="D19" s="466" t="n">
        <f aca="false">+C19/$B$25</f>
        <v>0.0851063829787234</v>
      </c>
      <c r="E19" s="476"/>
      <c r="F19" s="479"/>
    </row>
    <row r="20" customFormat="false" ht="15.75" hidden="false" customHeight="true" outlineLevel="0" collapsed="false">
      <c r="A20" s="469" t="s">
        <v>475</v>
      </c>
      <c r="B20" s="470" t="n">
        <v>250000</v>
      </c>
      <c r="C20" s="471"/>
      <c r="D20" s="471"/>
      <c r="E20" s="471"/>
      <c r="F20" s="480"/>
    </row>
    <row r="21" customFormat="false" ht="15.75" hidden="false" customHeight="true" outlineLevel="0" collapsed="false">
      <c r="A21" s="469" t="s">
        <v>476</v>
      </c>
      <c r="B21" s="470" t="n">
        <v>250000</v>
      </c>
      <c r="C21" s="471"/>
      <c r="D21" s="471"/>
      <c r="E21" s="471"/>
      <c r="F21" s="480"/>
    </row>
    <row r="22" customFormat="false" ht="15.75" hidden="false" customHeight="true" outlineLevel="0" collapsed="false">
      <c r="A22" s="469" t="s">
        <v>477</v>
      </c>
      <c r="B22" s="470" t="n">
        <v>250000</v>
      </c>
      <c r="C22" s="471"/>
      <c r="D22" s="471"/>
      <c r="E22" s="471"/>
      <c r="F22" s="480"/>
    </row>
    <row r="23" customFormat="false" ht="15.75" hidden="false" customHeight="true" outlineLevel="0" collapsed="false">
      <c r="A23" s="469" t="s">
        <v>478</v>
      </c>
      <c r="B23" s="470" t="n">
        <v>450000</v>
      </c>
      <c r="C23" s="471"/>
      <c r="D23" s="471"/>
      <c r="E23" s="471"/>
      <c r="F23" s="480"/>
    </row>
    <row r="24" customFormat="false" ht="15.75" hidden="false" customHeight="true" outlineLevel="0" collapsed="false">
      <c r="A24" s="469"/>
      <c r="B24" s="481"/>
      <c r="C24" s="482"/>
      <c r="D24" s="482"/>
      <c r="E24" s="482"/>
      <c r="F24" s="483"/>
    </row>
    <row r="25" customFormat="false" ht="24.75" hidden="false" customHeight="true" outlineLevel="0" collapsed="false">
      <c r="A25" s="484" t="s">
        <v>114</v>
      </c>
      <c r="B25" s="485" t="n">
        <f aca="false">+B19+B11+B4</f>
        <v>14100000</v>
      </c>
      <c r="C25" s="485" t="n">
        <f aca="false">+C19+C11+C4</f>
        <v>2100000</v>
      </c>
      <c r="D25" s="486" t="n">
        <f aca="false">+D19+D11+D4</f>
        <v>0.148936170212766</v>
      </c>
      <c r="E25" s="485" t="n">
        <f aca="false">+E19+E11+E4</f>
        <v>12000000</v>
      </c>
      <c r="F25" s="487" t="n">
        <f aca="false">+F19+F11+F4</f>
        <v>0.851063829787234</v>
      </c>
    </row>
  </sheetData>
  <mergeCells count="2">
    <mergeCell ref="A2:B2"/>
    <mergeCell ref="C2:F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2019-02-25T09:35:45Z</dcterms:created>
  <dc:creator>ONG_REFOR</dc:creator>
  <dc:description/>
  <dc:language>en-US</dc:language>
  <cp:lastModifiedBy>Bouraima</cp:lastModifiedBy>
  <cp:lastPrinted>2024-12-19T16:12:31Z</cp:lastPrinted>
  <dcterms:modified xsi:type="dcterms:W3CDTF">2026-10-10T20:42:20Z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axCatchAll">
    <vt:lpwstr/>
  </property>
  <property fmtid="{D5CDD505-2E9C-101B-9397-08002B2CF9AE}" pid="3" name="lcf76f155ced4ddcb4097134ff3c332f">
    <vt:lpwstr/>
  </property>
</Properties>
</file>